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Analytics Summary" sheetId="2" r:id="rId6"/>
    <sheet state="visible" name="Raw Data" sheetId="3" r:id="rId7"/>
    <sheet state="visible" name="Timeline of Transactions" sheetId="4" r:id="rId8"/>
    <sheet state="visible" name="Category" sheetId="5" r:id="rId9"/>
    <sheet state="visible" name="Reflections" sheetId="6" r:id="rId10"/>
  </sheets>
  <definedNames>
    <definedName hidden="1" localSheetId="1" name="_xlnm._FilterDatabase">'Analytics Summary'!$A$1:$C$8</definedName>
    <definedName hidden="1" localSheetId="2" name="_xlnm._FilterDatabase">'Raw Data'!$A$1:$I$61</definedName>
    <definedName hidden="1" localSheetId="1" name="Z_290A88CB_9314_42F1_867B_BC3F08977215_.wvu.FilterData">'Analytics Summary'!$A$1:$C$8</definedName>
  </definedNames>
  <calcPr/>
  <customWorkbookViews>
    <customWorkbookView activeSheetId="0" maximized="1" windowHeight="0" windowWidth="0" guid="{290A88CB-9314-42F1-867B-BC3F08977215}" name="By Officer"/>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tc={4cf847b3-01a4-4ee4-8339-5a8eb4aee417}</author>
  </authors>
  <commentList>
    <comment authorId="0" ref="C1">
      <text>
        <t xml:space="preserve">validation for data consistency</t>
      </text>
    </comment>
    <comment authorId="0" ref="H1">
      <text>
        <t xml:space="preserve">a fixed event window = dropdown for validation</t>
      </text>
    </comment>
    <comment authorId="1" xr:uid="{4cf847b3-01a4-4ee4-8339-5a8eb4aee417}" ref="B1">
      <text>
        <t xml:space="preserve">[Threaded comment]
 Your version of Excel allows you to read this threaded comment; however, any edits to it will get removed if the file is opened in a newer version of Excel. Learn more: https://go.microsoft.com/fwlink/?linkid=870924
Comment:
	Pwede iseparate ang expense categories and specific expenses? like:
Audio-Visual (AV) Equipment -- Speakers
Reply:
	Marked as resolved
Reply:
	Re-opened
Reply:
	Simplified categories to have better insights
</t>
      </text>
    </comment>
  </commentList>
</comments>
</file>

<file path=xl/sharedStrings.xml><?xml version="1.0" encoding="utf-8"?>
<sst xmlns="http://schemas.openxmlformats.org/spreadsheetml/2006/main" count="347" uniqueCount="80">
  <si>
    <t>Total</t>
  </si>
  <si>
    <t>Average Expense</t>
  </si>
  <si>
    <t>Most Expensive Category</t>
  </si>
  <si>
    <t>Least Expensive Category</t>
  </si>
  <si>
    <t>Total Number of Officers</t>
  </si>
  <si>
    <t>Average Expense per Officer</t>
  </si>
  <si>
    <t>Highest Allocation</t>
  </si>
  <si>
    <t>Lowest Allocation</t>
  </si>
  <si>
    <t>Responsible Officer</t>
  </si>
  <si>
    <t>Actual Cost Per Officer</t>
  </si>
  <si>
    <t>Estimated Cost Per Officer</t>
  </si>
  <si>
    <t>Date</t>
  </si>
  <si>
    <t>Number of Transactions</t>
  </si>
  <si>
    <t>A. Santos</t>
  </si>
  <si>
    <t>J. Cruz</t>
  </si>
  <si>
    <t>M. Dela Rosa</t>
  </si>
  <si>
    <t>H. Valenzuela</t>
  </si>
  <si>
    <t>N. Corpuz</t>
  </si>
  <si>
    <t>W. Gomez</t>
  </si>
  <si>
    <t>Summary</t>
  </si>
  <si>
    <t>Paid</t>
  </si>
  <si>
    <t>Pending</t>
  </si>
  <si>
    <t>Cancelled</t>
  </si>
  <si>
    <t>Expense Category</t>
  </si>
  <si>
    <t>Total Category</t>
  </si>
  <si>
    <t>Highest Expense</t>
  </si>
  <si>
    <t>Lowest Expense</t>
  </si>
  <si>
    <t>Total Expense</t>
  </si>
  <si>
    <t>Catering</t>
  </si>
  <si>
    <t>Venue</t>
  </si>
  <si>
    <t>Sound &amp; Lights</t>
  </si>
  <si>
    <t>Marketing</t>
  </si>
  <si>
    <t>Logistics</t>
  </si>
  <si>
    <t>Security</t>
  </si>
  <si>
    <t>Miscellaneous</t>
  </si>
  <si>
    <t>N/A</t>
  </si>
  <si>
    <t>UID</t>
  </si>
  <si>
    <t>Vendor</t>
  </si>
  <si>
    <t>Estimated Cost</t>
  </si>
  <si>
    <t>Actual Cost</t>
  </si>
  <si>
    <t>Payment Status</t>
  </si>
  <si>
    <t>Transaction Date</t>
  </si>
  <si>
    <t>Event Date</t>
  </si>
  <si>
    <t>Jollibee</t>
  </si>
  <si>
    <t>SMX Convention Center</t>
  </si>
  <si>
    <t>ABC Sound Systems</t>
  </si>
  <si>
    <t>Facebook Ads</t>
  </si>
  <si>
    <t>Print Hub</t>
  </si>
  <si>
    <t>Grab Transport</t>
  </si>
  <si>
    <t>LBC Express</t>
  </si>
  <si>
    <t>SecureForce</t>
  </si>
  <si>
    <t>Campus Guards</t>
  </si>
  <si>
    <t>Office Depot</t>
  </si>
  <si>
    <t>Water Refilling Station</t>
  </si>
  <si>
    <t>Greenwich</t>
  </si>
  <si>
    <t>Campus Tarpaulin Shop</t>
  </si>
  <si>
    <t>University Motor Pool</t>
  </si>
  <si>
    <t>Campus AV Services</t>
  </si>
  <si>
    <t>First Aid Supplies Co.</t>
  </si>
  <si>
    <t>Barangay Security Unit</t>
  </si>
  <si>
    <t>Email Campaign Tool</t>
  </si>
  <si>
    <t>Officer</t>
  </si>
  <si>
    <t>Questions</t>
  </si>
  <si>
    <t xml:space="preserve">Kim, Andrew Min Yeop P. </t>
  </si>
  <si>
    <t>Escarrilla, Luis Angelo T.</t>
  </si>
  <si>
    <t>Tangcay</t>
  </si>
  <si>
    <t>Salise</t>
  </si>
  <si>
    <t>Dumagan</t>
  </si>
  <si>
    <t>Enriquez</t>
  </si>
  <si>
    <t>Ingente</t>
  </si>
  <si>
    <t>Their assigned role</t>
  </si>
  <si>
    <t>I am the Project Manager for this lab activity. To fulfill my role, I provided the team with the workflow, coordinated with the team to accomplish the deliverables, created a timeline based on the transaction and event dates, and assisted with the creation of the visualizations found in the dashboard. The biggest challenge was starting the project, inferrable from the delayed submission. Additionally, finding the right balance between pressure (so that things get done) and leniency (so that morale does not drop) was also quite a challenge. Through this project, aside from learning how to manage a team, I learned how to customize charts for better aesthetic quality and analytical clarity in Sheets.</t>
  </si>
  <si>
    <t>I am the Data Entry and Cleaning Specialist. I was responsible for designing and preparing the shared dataset used by the group. I structured the raw data with clean, standardized masterlists and ensured all data followed consistent formatting for dates and currency. I also normalized multi-day expenses into daily entries to support accurate analysis and pivot table creation. One challenge I faced was balancing realism with analytical clarity, especially when deciding how to represent expenses that spanned multiple event days. Through this process, I learned the importance of data normalization and how early design decisions directly affect formulas, pivot tables, and dashboards.</t>
  </si>
  <si>
    <t>I am the Formula &amp; Logic Specialist. I did our document formula and logic setup to make our event expense tracking much faster and more automated. My biggest challenge was definitely troubleshooting "ghost spaces" in the cells that were making my COUNTIF formulas return the wrong numbers. Through this, I learned how to use custom number formatting to get that professional ₱ symbol to show up correctly without breaking the math. It was a great way to see how setting up the right formulas can save our whole group a lot of manual work.</t>
  </si>
  <si>
    <t>I am the Pivot Specialist for this project. I made the Costs Incurred Table for the Analytics Summary spreadsheet. Some challenges I have faced were how the data is being displayed, or rather, filtered. To solve this problem, I used the SUMIF function and added a filter that sorts the total costs incurred by the respective officer. Both the actual and estimated costs are filtered through. With that said, I did learn an essential skill while performing this activity. It taught me how to create pivot tables and simplify large datasets in order to quickly summarize data that can be easily digested. This skill is really important to learn especially in the 21st century.</t>
  </si>
  <si>
    <t>I am the Dashboard designer for this lab activity, I was responsible for building the visual dashboard like charts in order to present data in a more clear way. I focused on organizing information that made the dashboard easy to understand. One challenge I encountered was determining the best way to visualize the data so that it can accurately represent needed information. With this project I improved my skills in creating easy to understand charts that can effectively communicate key insights.</t>
  </si>
  <si>
    <t xml:space="preserve">I am the Quality Assurance &amp; Documentation Officer for this lab activity, responsible for systematically checking for errors, adding constructive comments for improvement, and compiling the final summary reflection. I focused on ensuring that all project documentation was accurate, consistent to the rubrics before finalization. One challenge I encountered was maintaining strict version control when multiple team members were submitting updates simultaneously. With this project, I improved my skills in creating and auditing technical documentation, ensuring I can effectively identify risks and assure quality in future projects.
</t>
  </si>
  <si>
    <t xml:space="preserve"> What they contributed</t>
  </si>
  <si>
    <t>Challenges faced</t>
  </si>
  <si>
    <t>One new skill learned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</si>
</sst>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readingOrder="0" shrinkToFit="0" vertical="center" wrapText="0"/>
    </xf>
    <xf borderId="0" fillId="0" fontId="1" numFmtId="165" xfId="0" applyAlignment="1" applyFont="1" applyNumberFormat="1">
      <alignment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Font="1"/>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1" numFmtId="0" xfId="0" applyAlignment="1" applyFont="1">
      <alignment horizontal="righ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49" xfId="0" applyAlignment="1" applyFont="1" applyNumberFormat="1">
      <alignment shrinkToFit="0" vertical="center" wrapText="0"/>
    </xf>
    <xf borderId="0" fillId="0" fontId="1" numFmtId="165" xfId="0" applyAlignment="1" applyFont="1" applyNumberFormat="1">
      <alignment shrinkToFit="0" vertical="center" wrapText="0"/>
    </xf>
    <xf borderId="0" fillId="0" fontId="1" numFmtId="49" xfId="0" applyAlignment="1" applyFont="1" applyNumberFormat="1">
      <alignment shrinkToFit="0" vertical="center" wrapText="0"/>
    </xf>
    <xf borderId="0" fillId="0" fontId="1" numFmtId="0" xfId="0" applyAlignment="1" applyFont="1">
      <alignment readingOrder="0" shrinkToFit="0" wrapText="1"/>
    </xf>
    <xf borderId="0" fillId="0" fontId="1" numFmtId="0" xfId="0" applyAlignment="1" applyFont="1">
      <alignment horizontal="left" readingOrder="0" shrinkToFit="0" wrapText="1"/>
    </xf>
    <xf borderId="0" fillId="0" fontId="1" numFmtId="0" xfId="0" applyAlignment="1" applyFont="1">
      <alignment shrinkToFit="0" wrapText="1"/>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373F6B"/>
          <bgColor rgb="FF373F6B"/>
        </patternFill>
      </fill>
      <border/>
    </dxf>
    <dxf>
      <font/>
      <fill>
        <patternFill patternType="solid">
          <fgColor rgb="FFCDCFDA"/>
          <bgColor rgb="FFCDCFDA"/>
        </patternFill>
      </fill>
      <border/>
    </dxf>
    <dxf>
      <font/>
      <fill>
        <patternFill patternType="solid">
          <fgColor rgb="FF626E7A"/>
          <bgColor rgb="FF626E7A"/>
        </patternFill>
      </fill>
      <border/>
    </dxf>
  </dxfs>
  <tableStyles count="8">
    <tableStyle count="4" pivot="0" name="Dashboard-style">
      <tableStyleElement dxfId="1" type="headerRow"/>
      <tableStyleElement dxfId="2" type="firstRowStripe"/>
      <tableStyleElement dxfId="3" type="secondRowStripe"/>
      <tableStyleElement dxfId="4" size="0" type="wholeTable"/>
    </tableStyle>
    <tableStyle count="4" pivot="0" name="Dashboard-style 2">
      <tableStyleElement dxfId="1" type="headerRow"/>
      <tableStyleElement dxfId="2" type="firstRowStripe"/>
      <tableStyleElement dxfId="3" type="secondRowStripe"/>
      <tableStyleElement dxfId="4" size="0" type="wholeTable"/>
    </tableStyle>
    <tableStyle count="4" pivot="0" name="Analytics Summary-style">
      <tableStyleElement dxfId="5" type="headerRow"/>
      <tableStyleElement dxfId="2" type="firstRowStripe"/>
      <tableStyleElement dxfId="3" type="secondRowStripe"/>
      <tableStyleElement dxfId="4" size="0" type="wholeTable"/>
    </tableStyle>
    <tableStyle count="4" pivot="0" name="Analytics Summary-style 2">
      <tableStyleElement dxfId="1" type="headerRow"/>
      <tableStyleElement dxfId="2" type="firstRowStripe"/>
      <tableStyleElement dxfId="3" type="secondRowStripe"/>
      <tableStyleElement dxfId="4" size="0" type="wholeTable"/>
    </tableStyle>
    <tableStyle count="4" pivot="0" name="Analytics Summary-style 3">
      <tableStyleElement dxfId="5" type="headerRow"/>
      <tableStyleElement dxfId="2" type="firstRowStripe"/>
      <tableStyleElement dxfId="3" type="secondRowStripe"/>
      <tableStyleElement dxfId="4" size="0" type="wholeTable"/>
    </tableStyle>
    <tableStyle count="5" pivot="0" name="Analytics Summary-style 4">
      <tableStyleElement dxfId="5" type="headerRow"/>
      <tableStyleElement dxfId="2" type="firstRowStripe"/>
      <tableStyleElement dxfId="3" type="secondRowStripe"/>
      <tableStyleElement dxfId="6" type="totalRow"/>
      <tableStyleElement dxfId="4" size="0" type="wholeTable"/>
    </tableStyle>
    <tableStyle count="4" pivot="0" name="Raw Data-style">
      <tableStyleElement dxfId="5" type="headerRow"/>
      <tableStyleElement dxfId="2" type="firstRowStripe"/>
      <tableStyleElement dxfId="3" type="secondRowStripe"/>
      <tableStyleElement dxfId="4" size="0" type="wholeTable"/>
    </tableStyle>
    <tableStyle count="4" pivot="0" name="Category-style">
      <tableStyleElement dxfId="7"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Proportion of Actual Cost Paid Per Officer</a:t>
            </a:r>
          </a:p>
        </c:rich>
      </c:tx>
      <c:overlay val="0"/>
    </c:title>
    <c:plotArea>
      <c:layout/>
      <c:pieChart>
        <c:varyColors val="1"/>
        <c:ser>
          <c:idx val="0"/>
          <c:order val="0"/>
          <c:tx>
            <c:strRef>
              <c:f>'Analytics Summary'!$B$1</c:f>
            </c:strRef>
          </c:tx>
          <c:dPt>
            <c:idx val="0"/>
            <c:spPr>
              <a:solidFill>
                <a:srgbClr val="C9DAF8"/>
              </a:solidFill>
            </c:spPr>
          </c:dPt>
          <c:dPt>
            <c:idx val="1"/>
            <c:spPr>
              <a:solidFill>
                <a:srgbClr val="F4CCCC"/>
              </a:solidFill>
            </c:spPr>
          </c:dPt>
          <c:dPt>
            <c:idx val="2"/>
            <c:explosion val="0"/>
            <c:spPr>
              <a:solidFill>
                <a:srgbClr val="D9D2E9"/>
              </a:solidFill>
            </c:spPr>
          </c:dPt>
          <c:dPt>
            <c:idx val="3"/>
            <c:spPr>
              <a:solidFill>
                <a:srgbClr val="D9EAD3"/>
              </a:solidFill>
            </c:spPr>
          </c:dPt>
          <c:dPt>
            <c:idx val="4"/>
            <c:spPr>
              <a:solidFill>
                <a:srgbClr val="FCE5CD"/>
              </a:solidFill>
            </c:spPr>
          </c:dPt>
          <c:dPt>
            <c:idx val="5"/>
            <c:spPr>
              <a:solidFill>
                <a:srgbClr val="D0E0E3"/>
              </a:solidFill>
            </c:spPr>
          </c:dPt>
          <c:dLbls>
            <c:showLegendKey val="0"/>
            <c:showVal val="0"/>
            <c:showCatName val="0"/>
            <c:showSerName val="0"/>
            <c:showPercent val="1"/>
            <c:showBubbleSize val="0"/>
            <c:showLeaderLines val="1"/>
          </c:dLbls>
          <c:cat>
            <c:strRef>
              <c:f>'Analytics Summary'!$A$2:$A$7</c:f>
            </c:strRef>
          </c:cat>
          <c:val>
            <c:numRef>
              <c:f>'Analytics Summary'!$B$2:$B$7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Arial Narrow"/>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Verdana"/>
              </a:defRPr>
            </a:pPr>
            <a:r>
              <a:rPr b="0">
                <a:solidFill>
                  <a:srgbClr val="757575"/>
                </a:solidFill>
                <a:latin typeface="Verdana"/>
              </a:rPr>
              <a:t>Actual vs Estimated Cost per Officer</a:t>
            </a:r>
          </a:p>
        </c:rich>
      </c:tx>
      <c:overlay val="0"/>
    </c:title>
    <c:plotArea>
      <c:layout/>
      <c:barChart>
        <c:barDir val="col"/>
        <c:ser>
          <c:idx val="0"/>
          <c:order val="0"/>
          <c:tx>
            <c:strRef>
              <c:f>'Analytics Summary'!$B$1</c:f>
            </c:strRef>
          </c:tx>
          <c:spPr>
            <a:solidFill>
              <a:srgbClr val="EA9999"/>
            </a:solidFill>
            <a:ln cmpd="sng">
              <a:solidFill>
                <a:srgbClr val="000000"/>
              </a:solidFill>
            </a:ln>
          </c:spPr>
          <c:dLbls>
            <c:numFmt formatCode="General" sourceLinked="1"/>
            <c:txPr>
              <a:bodyPr/>
              <a:lstStyle/>
              <a:p>
                <a:pPr lvl="0">
                  <a:defRPr>
                    <a:latin typeface="Verdana"/>
                  </a:defRPr>
                </a:pPr>
              </a:p>
            </c:txPr>
            <c:showLegendKey val="0"/>
            <c:showVal val="1"/>
            <c:showCatName val="0"/>
            <c:showSerName val="0"/>
            <c:showPercent val="0"/>
            <c:showBubbleSize val="0"/>
          </c:dLbls>
          <c:cat>
            <c:strRef>
              <c:f>'Analytics Summary'!$A$2:$A$7</c:f>
            </c:strRef>
          </c:cat>
          <c:val>
            <c:numRef>
              <c:f>'Analytics Summary'!$B$2:$B$7</c:f>
              <c:numCache/>
            </c:numRef>
          </c:val>
        </c:ser>
        <c:ser>
          <c:idx val="1"/>
          <c:order val="1"/>
          <c:tx>
            <c:strRef>
              <c:f>'Analytics Summary'!$C$1</c:f>
            </c:strRef>
          </c:tx>
          <c:spPr>
            <a:solidFill>
              <a:srgbClr val="A4C2F4"/>
            </a:solidFill>
            <a:ln cmpd="sng">
              <a:solidFill>
                <a:srgbClr val="000000"/>
              </a:solidFill>
            </a:ln>
          </c:spPr>
          <c:dLbls>
            <c:numFmt formatCode="General" sourceLinked="1"/>
            <c:txPr>
              <a:bodyPr/>
              <a:lstStyle/>
              <a:p>
                <a:pPr lvl="0">
                  <a:defRPr>
                    <a:latin typeface="Verdana"/>
                  </a:defRPr>
                </a:pPr>
              </a:p>
            </c:txPr>
            <c:showLegendKey val="0"/>
            <c:showVal val="1"/>
            <c:showCatName val="0"/>
            <c:showSerName val="0"/>
            <c:showPercent val="0"/>
            <c:showBubbleSize val="0"/>
          </c:dLbls>
          <c:cat>
            <c:strRef>
              <c:f>'Analytics Summary'!$A$2:$A$7</c:f>
            </c:strRef>
          </c:cat>
          <c:val>
            <c:numRef>
              <c:f>'Analytics Summary'!$C$2:$C$7</c:f>
              <c:numCache/>
            </c:numRef>
          </c:val>
        </c:ser>
        <c:axId val="2063827185"/>
        <c:axId val="342933661"/>
      </c:barChart>
      <c:catAx>
        <c:axId val="20638271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Verdana"/>
              </a:defRPr>
            </a:pPr>
          </a:p>
        </c:txPr>
        <c:crossAx val="342933661"/>
      </c:catAx>
      <c:valAx>
        <c:axId val="3429336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Verdana"/>
              </a:defRPr>
            </a:pPr>
          </a:p>
        </c:txPr>
        <c:crossAx val="2063827185"/>
      </c:valAx>
    </c:plotArea>
    <c:legend>
      <c:legendPos val="r"/>
      <c:overlay val="0"/>
      <c:txPr>
        <a:bodyPr/>
        <a:lstStyle/>
        <a:p>
          <a:pPr lvl="0">
            <a:defRPr b="0">
              <a:solidFill>
                <a:srgbClr val="1A1A1A"/>
              </a:solidFill>
              <a:latin typeface="Verdana"/>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Verdana"/>
              </a:defRPr>
            </a:pPr>
            <a:r>
              <a:rPr b="0">
                <a:solidFill>
                  <a:srgbClr val="757575"/>
                </a:solidFill>
                <a:latin typeface="Verdana"/>
              </a:rPr>
              <a:t>Payment by Status</a:t>
            </a:r>
          </a:p>
        </c:rich>
      </c:tx>
      <c:overlay val="0"/>
    </c:title>
    <c:plotArea>
      <c:layout/>
      <c:pieChart>
        <c:varyColors val="1"/>
        <c:ser>
          <c:idx val="0"/>
          <c:order val="0"/>
          <c:dPt>
            <c:idx val="0"/>
            <c:explosion val="0"/>
            <c:spPr>
              <a:solidFill>
                <a:srgbClr val="B6D7A8"/>
              </a:solidFill>
            </c:spPr>
          </c:dPt>
          <c:dPt>
            <c:idx val="1"/>
            <c:spPr>
              <a:solidFill>
                <a:srgbClr val="FFE599"/>
              </a:solidFill>
            </c:spPr>
          </c:dPt>
          <c:dPt>
            <c:idx val="2"/>
            <c:explosion val="0"/>
            <c:spPr>
              <a:solidFill>
                <a:srgbClr val="EA9999"/>
              </a:solidFill>
            </c:spPr>
          </c:dPt>
          <c:dLbls>
            <c:showLegendKey val="0"/>
            <c:showVal val="0"/>
            <c:showCatName val="0"/>
            <c:showSerName val="0"/>
            <c:showPercent val="0"/>
            <c:showBubbleSize val="0"/>
            <c:showLeaderLines val="1"/>
          </c:dLbls>
          <c:cat>
            <c:strRef>
              <c:f>'Analytics Summary'!$A$12:$A$14</c:f>
            </c:strRef>
          </c:cat>
          <c:val>
            <c:numRef>
              <c:f>'Analytics Summary'!$B$12:$B$14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800">
              <a:solidFill>
                <a:srgbClr val="000000"/>
              </a:solidFill>
              <a:latin typeface="Courier New"/>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Expense Range by Category</a:t>
            </a:r>
          </a:p>
        </c:rich>
      </c:tx>
      <c:overlay val="0"/>
    </c:title>
    <c:plotArea>
      <c:layout/>
      <c:barChart>
        <c:barDir val="col"/>
        <c:ser>
          <c:idx val="0"/>
          <c:order val="0"/>
          <c:tx>
            <c:strRef>
              <c:f>'Analytics Summary'!$C$18</c:f>
            </c:strRef>
          </c:tx>
          <c:spPr>
            <a:solidFill>
              <a:srgbClr val="EA9999"/>
            </a:solidFill>
            <a:ln cmpd="sng">
              <a:solidFill>
                <a:srgbClr val="000000"/>
              </a:solidFill>
            </a:ln>
          </c:spPr>
          <c:dPt>
            <c:idx val="0"/>
          </c:dPt>
          <c:cat>
            <c:strRef>
              <c:f>'Analytics Summary'!$A$19:$A$25</c:f>
            </c:strRef>
          </c:cat>
          <c:val>
            <c:numRef>
              <c:f>'Analytics Summary'!$C$19:$C$25</c:f>
              <c:numCache/>
            </c:numRef>
          </c:val>
        </c:ser>
        <c:ser>
          <c:idx val="1"/>
          <c:order val="1"/>
          <c:tx>
            <c:strRef>
              <c:f>'Analytics Summary'!$D$18</c:f>
            </c:strRef>
          </c:tx>
          <c:spPr>
            <a:solidFill>
              <a:srgbClr val="9FC5E8"/>
            </a:solidFill>
            <a:ln cmpd="sng">
              <a:solidFill>
                <a:srgbClr val="000000"/>
              </a:solidFill>
            </a:ln>
          </c:spPr>
          <c:cat>
            <c:strRef>
              <c:f>'Analytics Summary'!$A$19:$A$25</c:f>
            </c:strRef>
          </c:cat>
          <c:val>
            <c:numRef>
              <c:f>'Analytics Summary'!$D$19:$D$25</c:f>
              <c:numCache/>
            </c:numRef>
          </c:val>
        </c:ser>
        <c:axId val="2095073045"/>
        <c:axId val="1698024973"/>
      </c:barChart>
      <c:catAx>
        <c:axId val="20950730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98024973"/>
      </c:catAx>
      <c:valAx>
        <c:axId val="16980249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507304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Expense per Category</a:t>
            </a:r>
          </a:p>
        </c:rich>
      </c:tx>
      <c:overlay val="0"/>
    </c:title>
    <c:plotArea>
      <c:layout/>
      <c:barChart>
        <c:barDir val="col"/>
        <c:ser>
          <c:idx val="0"/>
          <c:order val="0"/>
          <c:spPr>
            <a:solidFill>
              <a:srgbClr val="EA9999"/>
            </a:solidFill>
            <a:ln cmpd="sng">
              <a:solidFill>
                <a:srgbClr val="000000"/>
              </a:solidFill>
            </a:ln>
          </c:spPr>
          <c:cat>
            <c:strRef>
              <c:f>'Analytics Summary'!$A$19:$A$25</c:f>
            </c:strRef>
          </c:cat>
          <c:val>
            <c:numRef>
              <c:f>'Analytics Summary'!$E$19:$E$25</c:f>
              <c:numCache/>
            </c:numRef>
          </c:val>
        </c:ser>
        <c:axId val="1167497902"/>
        <c:axId val="1412388773"/>
      </c:barChart>
      <c:catAx>
        <c:axId val="11674979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12388773"/>
      </c:catAx>
      <c:valAx>
        <c:axId val="14123887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7497902"/>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image" Target="../media/Visualization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1447800</xdr:colOff>
      <xdr:row>2</xdr:row>
      <xdr:rowOff>28575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1447800</xdr:colOff>
      <xdr:row>20</xdr:row>
      <xdr:rowOff>9525</xdr:rowOff>
    </xdr:from>
    <xdr:ext cx="14077950" cy="46291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180975</xdr:colOff>
      <xdr:row>0</xdr:row>
      <xdr:rowOff>0</xdr:rowOff>
    </xdr:from>
    <xdr:ext cx="5800725" cy="35909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2</xdr:row>
      <xdr:rowOff>28575</xdr:rowOff>
    </xdr:from>
    <xdr:ext cx="6991350" cy="43243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24</xdr:row>
      <xdr:rowOff>123825</xdr:rowOff>
    </xdr:from>
    <xdr:ext cx="6991350" cy="432435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916285948"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aron Ace Tangcay" id="{fb2fdf38-83a0-4062-b099-fd8c3bcfdaf9}" providerId="google-sheets"/>
  <x18tc:person displayName="Luis Angelo Escarrilla" id="{e8f12376-6ebd-4180-af15-50b087f5c480}" providerId="google-sheets"/>
</x18tc:personList>
</file>

<file path=xl/tables/table1.xml><?xml version="1.0" encoding="utf-8"?>
<table xmlns="http://schemas.openxmlformats.org/spreadsheetml/2006/main" ref="A1:D2" displayName="Expense_Category_Summary" name="Expense_Category_Summary" id="1">
  <tableColumns count="4">
    <tableColumn name="Total" id="1"/>
    <tableColumn name="Average Expense" id="2"/>
    <tableColumn name="Most Expensive Category" id="3"/>
    <tableColumn name="Least Expensive Category" id="4"/>
  </tableColumns>
  <tableStyleInfo name="Dashboard-style" showColumnStripes="0" showFirstColumn="1" showLastColumn="1" showRowStripes="1"/>
</table>
</file>

<file path=xl/tables/table2.xml><?xml version="1.0" encoding="utf-8"?>
<table xmlns="http://schemas.openxmlformats.org/spreadsheetml/2006/main" ref="J1:M2" displayName="Officers_Summary" name="Officers_Summary" id="2">
  <tableColumns count="4">
    <tableColumn name="Total Number of Officers" id="1"/>
    <tableColumn name="Average Expense per Officer" id="2"/>
    <tableColumn name="Highest Allocation" id="3"/>
    <tableColumn name="Lowest Allocation" id="4"/>
  </tableColumns>
  <tableStyleInfo name="Dashboard-style 2" showColumnStripes="0" showFirstColumn="1" showLastColumn="1" showRowStripes="1"/>
</table>
</file>

<file path=xl/tables/table3.xml><?xml version="1.0" encoding="utf-8"?>
<table xmlns="http://schemas.openxmlformats.org/spreadsheetml/2006/main" ref="A1:C8" displayName="Costs_Incurred" name="Costs_Incurred" id="3">
  <autoFilter ref="$A$1:$C$8"/>
  <tableColumns count="3">
    <tableColumn name="Responsible Officer" id="1"/>
    <tableColumn name="Actual Cost Per Officer" id="2"/>
    <tableColumn name="Estimated Cost Per Officer" id="3"/>
  </tableColumns>
  <tableStyleInfo name="Analytics Summary-style" showColumnStripes="0" showFirstColumn="1" showLastColumn="1" showRowStripes="1"/>
</table>
</file>

<file path=xl/tables/table4.xml><?xml version="1.0" encoding="utf-8"?>
<table xmlns="http://schemas.openxmlformats.org/spreadsheetml/2006/main" ref="G1:H11" displayName="Frequency_of_Transactions" name="Frequency_of_Transactions" id="4">
  <tableColumns count="2">
    <tableColumn name="Date" id="1"/>
    <tableColumn name="Number of Transactions" id="2"/>
  </tableColumns>
  <tableStyleInfo name="Analytics Summary-style 2" showColumnStripes="0" showFirstColumn="1" showLastColumn="1" showRowStripes="1"/>
</table>
</file>

<file path=xl/tables/table5.xml><?xml version="1.0" encoding="utf-8"?>
<table xmlns="http://schemas.openxmlformats.org/spreadsheetml/2006/main" ref="A11:B15" displayName="Payment_Statuses" name="Payment_Statuses" id="5">
  <tableColumns count="2">
    <tableColumn name="Summary" id="1"/>
    <tableColumn name="Total" id="2"/>
  </tableColumns>
  <tableStyleInfo name="Analytics Summary-style 3" showColumnStripes="0" showFirstColumn="1" showLastColumn="1" showRowStripes="1"/>
</table>
</file>

<file path=xl/tables/table6.xml><?xml version="1.0" encoding="utf-8"?>
<table xmlns="http://schemas.openxmlformats.org/spreadsheetml/2006/main" totalsRowCount="1" ref="A18:E26" displayName="Expenses_per_Category" name="Expenses_per_Category" id="6">
  <tableColumns count="5">
    <tableColumn totalsRowLabel="Total" name="Expense Category" id="1"/>
    <tableColumn totalsRowFunction="custom" name="Total Category" id="2"/>
    <tableColumn totalsRowLabel="N/A" name="Highest Expense" id="3"/>
    <tableColumn totalsRowLabel="N/A" name="Lowest Expense" id="4"/>
    <tableColumn totalsRowFunction="custom" name="Total Expense" id="5"/>
  </tableColumns>
  <tableStyleInfo name="Analytics Summary-style 4" showColumnStripes="0" showFirstColumn="1" showLastColumn="1" showRowStripes="1"/>
</table>
</file>

<file path=xl/tables/table7.xml><?xml version="1.0" encoding="utf-8"?>
<table xmlns="http://schemas.openxmlformats.org/spreadsheetml/2006/main" ref="A1:I61" displayName="University_Event_Expenses" name="University_Event_Expenses" id="7">
  <autoFilter ref="$A$1:$I$61"/>
  <tableColumns count="9">
    <tableColumn name="UID" id="1"/>
    <tableColumn name="Expense Category" id="2"/>
    <tableColumn name="Vendor" id="3"/>
    <tableColumn name="Estimated Cost" id="4"/>
    <tableColumn name="Actual Cost" id="5"/>
    <tableColumn name="Payment Status" id="6"/>
    <tableColumn name="Transaction Date" id="7"/>
    <tableColumn name="Event Date" id="8"/>
    <tableColumn name="Responsible Officer" id="9"/>
  </tableColumns>
  <tableStyleInfo name="Raw Data-style" showColumnStripes="0" showFirstColumn="1" showLastColumn="1" showRowStripes="1"/>
</table>
</file>

<file path=xl/tables/table8.xml><?xml version="1.0" encoding="utf-8"?>
<table xmlns="http://schemas.openxmlformats.org/spreadsheetml/2006/main" ref="A1:E19" displayName="Category" name="Category" id="8">
  <tableColumns count="5">
    <tableColumn name="Expense Category" id="1"/>
    <tableColumn name="Vendor" id="2"/>
    <tableColumn name="Payment Status" id="3"/>
    <tableColumn name="Event Date" id="4"/>
    <tableColumn name="Officer" id="5"/>
  </tableColumns>
  <tableStyleInfo name="Catego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3-11T12:28:01.00" personId="{e8f12376-6ebd-4180-af15-50b087f5c480}" id="{4cf847b3-01a4-4ee4-8339-5a8eb4aee417}" done="1">
    <x18tc:text xml:space="preserve">Pwede iseparate ang expense categories and specific expenses? like:
Audio-Visual (AV) Equipment -- Speakers</x18tc:text>
  </x18tc:threadedComment>
  <x18tc:threadedComment ref="B1" dT="2026-03-12T01:36:32.00" personId="{fb2fdf38-83a0-4062-b099-fd8c3bcfdaf9}" id="{6854ebbc-ca14-4a16-9a4d-b2768205e683}" parentId="{4cf847b3-01a4-4ee4-8339-5a8eb4aee417}">
    <x18tc:text xml:space="preserve">Marked as resolved</x18tc:text>
  </x18tc:threadedComment>
  <x18tc:threadedComment ref="B1" dT="2026-03-12T01:36:35.00" personId="{fb2fdf38-83a0-4062-b099-fd8c3bcfdaf9}" id="{2ad190fa-0321-4923-9c49-ed692adee2e5}" parentId="{4cf847b3-01a4-4ee4-8339-5a8eb4aee417}">
    <x18tc:text xml:space="preserve">Re-opened</x18tc:text>
  </x18tc:threadedComment>
  <x18tc:threadedComment ref="B1" dT="2026-03-13T11:32:17.00" personId="{e8f12376-6ebd-4180-af15-50b087f5c480}" id="{c3fa2ad5-b4ec-49da-80d6-8d6e70eb3cfe}" parentId="{4cf847b3-01a4-4ee4-8339-5a8eb4aee417}">
    <x18tc:text xml:space="preserve">Simplified categories to have better insights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6.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 Id="rId7"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2" width="18.13"/>
    <col customWidth="1" min="3" max="3" width="24.25"/>
    <col customWidth="1" min="4" max="4" width="24.5"/>
    <col customWidth="1" min="7" max="7" width="23.75"/>
    <col customWidth="1" min="8" max="8" width="26.25"/>
    <col customWidth="1" min="9" max="9" width="19.13"/>
    <col customWidth="1" min="10" max="10" width="18.75"/>
    <col customWidth="1" min="11" max="11" width="23.75"/>
    <col customWidth="1" min="12" max="12" width="26.25"/>
    <col customWidth="1" min="13" max="13" width="19.13"/>
    <col customWidth="1" min="14" max="14" width="18.75"/>
  </cols>
  <sheetData>
    <row r="1" ht="22.5" customHeight="1">
      <c r="A1" s="1" t="s">
        <v>0</v>
      </c>
      <c r="B1" s="1" t="s">
        <v>1</v>
      </c>
      <c r="C1" s="1" t="s">
        <v>2</v>
      </c>
      <c r="D1" s="1" t="s">
        <v>3</v>
      </c>
      <c r="J1" s="1" t="s">
        <v>4</v>
      </c>
      <c r="K1" s="1" t="s">
        <v>5</v>
      </c>
      <c r="L1" s="1" t="s">
        <v>6</v>
      </c>
      <c r="M1" s="1" t="s">
        <v>7</v>
      </c>
    </row>
    <row r="2" ht="22.5" customHeight="1">
      <c r="A2" s="2">
        <f>Expenses_per_Category[[#TOTALS],[Total Expense]]</f>
        <v>176820</v>
      </c>
      <c r="B2" s="2">
        <f>AVERAGE('Raw Data'!E2:E1000)</f>
        <v>2947</v>
      </c>
      <c r="C2" s="3">
        <f>MAX(Expenses_per_Category[Total Expense])</f>
        <v>61500</v>
      </c>
      <c r="D2" s="2">
        <f>MIN(Expenses_per_Category[Total Expense])</f>
        <v>7170</v>
      </c>
      <c r="J2" s="4">
        <f> COUNTA(Category!E2:E1000)</f>
        <v>6</v>
      </c>
      <c r="K2" s="5">
        <f>AVERAGE('Analytics Summary'!B2:B7)</f>
        <v>29470</v>
      </c>
      <c r="L2" s="5">
        <f>MAX('Analytics Summary'!B2:B7)</f>
        <v>83750</v>
      </c>
      <c r="M2" s="5">
        <f>MIN('Analytics Summary'!B2:B7)</f>
        <v>4520</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13"/>
    <col customWidth="1" min="2" max="2" width="21.63"/>
    <col customWidth="1" min="3" max="3" width="24.25"/>
    <col customWidth="1" min="4" max="4" width="24.0"/>
    <col customWidth="1" min="5" max="5" width="25.63"/>
    <col customWidth="1" min="6" max="6" width="13.25"/>
    <col customWidth="1" min="8" max="8" width="23.38"/>
  </cols>
  <sheetData>
    <row r="1" ht="22.5" customHeight="1">
      <c r="A1" s="6" t="s">
        <v>8</v>
      </c>
      <c r="B1" s="6" t="s">
        <v>9</v>
      </c>
      <c r="C1" s="6" t="s">
        <v>10</v>
      </c>
      <c r="G1" s="1" t="s">
        <v>11</v>
      </c>
      <c r="H1" s="1" t="s">
        <v>12</v>
      </c>
    </row>
    <row r="2" ht="22.5" customHeight="1">
      <c r="A2" s="7" t="s">
        <v>13</v>
      </c>
      <c r="B2" s="5">
        <f>SUMIF(University_Event_Expenses[Responsible Officer],A2,University_Event_Expenses[Actual Cost])</f>
        <v>30350</v>
      </c>
      <c r="C2" s="5">
        <f>SUMIF(University_Event_Expenses[Responsible Officer],A2,University_Event_Expenses[Estimated Cost])</f>
        <v>29900</v>
      </c>
      <c r="G2" s="8">
        <f t="array" ref="G2:G11">UNIQUE('Raw Data'!G2:G1000)</f>
        <v>46113</v>
      </c>
      <c r="H2" s="4">
        <f>COUNTIF('Raw Data'!G2:G1000,G2)</f>
        <v>6</v>
      </c>
    </row>
    <row r="3" ht="22.5" customHeight="1">
      <c r="A3" s="7" t="s">
        <v>14</v>
      </c>
      <c r="B3" s="5">
        <f>SUMIF(University_Event_Expenses[Responsible Officer],A3,University_Event_Expenses[Actual Cost])</f>
        <v>44650</v>
      </c>
      <c r="C3" s="5">
        <f>SUMIF(University_Event_Expenses[Responsible Officer],A3,University_Event_Expenses[Estimated Cost])</f>
        <v>43400</v>
      </c>
      <c r="G3" s="8">
        <v>46117.0</v>
      </c>
      <c r="H3" s="4">
        <f>COUNTIF('Raw Data'!G3:G1000,G3)</f>
        <v>13</v>
      </c>
    </row>
    <row r="4" ht="22.5" customHeight="1">
      <c r="A4" s="7" t="s">
        <v>15</v>
      </c>
      <c r="B4" s="5">
        <f>SUMIF(University_Event_Expenses[Responsible Officer],A4,University_Event_Expenses[Actual Cost])</f>
        <v>8200</v>
      </c>
      <c r="C4" s="5">
        <f>SUMIF(University_Event_Expenses[Responsible Officer],A4,University_Event_Expenses[Estimated Cost])</f>
        <v>8100</v>
      </c>
      <c r="G4" s="8">
        <v>46109.0</v>
      </c>
      <c r="H4" s="4">
        <f>COUNTIF('Raw Data'!G4:G1000,G4)</f>
        <v>4</v>
      </c>
    </row>
    <row r="5" ht="22.5" customHeight="1">
      <c r="A5" s="7" t="s">
        <v>16</v>
      </c>
      <c r="B5" s="5">
        <f>SUMIF(University_Event_Expenses[Responsible Officer],A5,University_Event_Expenses[Actual Cost])</f>
        <v>4520</v>
      </c>
      <c r="C5" s="5">
        <f>SUMIF(University_Event_Expenses[Responsible Officer],A5,University_Event_Expenses[Estimated Cost])</f>
        <v>4500</v>
      </c>
      <c r="G5" s="8">
        <v>46116.0</v>
      </c>
      <c r="H5" s="4">
        <f>COUNTIF('Raw Data'!G5:G1000,G5)</f>
        <v>10</v>
      </c>
    </row>
    <row r="6" ht="22.5" customHeight="1">
      <c r="A6" s="7" t="s">
        <v>17</v>
      </c>
      <c r="B6" s="5">
        <f>SUMIF(University_Event_Expenses[Responsible Officer],A6,University_Event_Expenses[Actual Cost])</f>
        <v>83750</v>
      </c>
      <c r="C6" s="5">
        <f>SUMIF(University_Event_Expenses[Responsible Officer],A6,University_Event_Expenses[Estimated Cost])</f>
        <v>81500</v>
      </c>
      <c r="G6" s="8">
        <v>46114.0</v>
      </c>
      <c r="H6" s="4">
        <f>COUNTIF('Raw Data'!G6:G1000,G6)</f>
        <v>6</v>
      </c>
    </row>
    <row r="7" ht="22.5" customHeight="1">
      <c r="A7" s="9" t="s">
        <v>18</v>
      </c>
      <c r="B7" s="5">
        <f>SUMIF(University_Event_Expenses[Responsible Officer],A7,University_Event_Expenses[Actual Cost])</f>
        <v>5350</v>
      </c>
      <c r="C7" s="5">
        <f>SUMIF(University_Event_Expenses[Responsible Officer],A7,University_Event_Expenses[Estimated Cost])</f>
        <v>5400</v>
      </c>
      <c r="G7" s="8">
        <v>46111.0</v>
      </c>
      <c r="H7" s="4">
        <f>COUNTIF('Raw Data'!G7:G1000,G7)</f>
        <v>3</v>
      </c>
    </row>
    <row r="8" ht="22.5" customHeight="1">
      <c r="A8" s="10" t="s">
        <v>0</v>
      </c>
      <c r="B8" s="5">
        <f t="shared" ref="B8:C8" si="1">SUM(B2:B7)</f>
        <v>176820</v>
      </c>
      <c r="C8" s="5">
        <f t="shared" si="1"/>
        <v>172800</v>
      </c>
      <c r="G8" s="8">
        <v>46110.0</v>
      </c>
      <c r="H8" s="4">
        <f>COUNTIF('Raw Data'!G8:G1000,G8)</f>
        <v>4</v>
      </c>
    </row>
    <row r="9" ht="22.5" customHeight="1">
      <c r="G9" s="8">
        <v>46118.0</v>
      </c>
      <c r="H9" s="4">
        <f>COUNTIF('Raw Data'!G9:G1000,G9)</f>
        <v>5</v>
      </c>
    </row>
    <row r="10" ht="22.5" customHeight="1">
      <c r="A10" s="11"/>
      <c r="B10" s="11"/>
      <c r="G10" s="8">
        <v>46115.0</v>
      </c>
      <c r="H10" s="4">
        <f>COUNTIF('Raw Data'!G10:G1000,G10)</f>
        <v>7</v>
      </c>
    </row>
    <row r="11" ht="22.5" customHeight="1">
      <c r="A11" s="1" t="s">
        <v>19</v>
      </c>
      <c r="B11" s="1" t="s">
        <v>0</v>
      </c>
      <c r="G11" s="8">
        <v>46112.0</v>
      </c>
      <c r="H11" s="4">
        <f>COUNTIF('Raw Data'!G11:G1000,G11)</f>
        <v>2</v>
      </c>
    </row>
    <row r="12" ht="22.5" customHeight="1">
      <c r="A12" s="10" t="s">
        <v>20</v>
      </c>
      <c r="B12" s="12">
        <f>COUNTIF(University_Event_Expenses[Payment Status],A12)</f>
        <v>39</v>
      </c>
    </row>
    <row r="13" ht="22.5" customHeight="1">
      <c r="A13" s="10" t="s">
        <v>21</v>
      </c>
      <c r="B13" s="12">
        <f>COUNTIF(University_Event_Expenses[Payment Status],A13)</f>
        <v>15</v>
      </c>
    </row>
    <row r="14" ht="22.5" customHeight="1">
      <c r="A14" s="10" t="s">
        <v>22</v>
      </c>
      <c r="B14" s="12">
        <f>COUNTIF(University_Event_Expenses[Payment Status],A14)</f>
        <v>6</v>
      </c>
    </row>
    <row r="15" ht="22.5" customHeight="1">
      <c r="A15" s="13" t="s">
        <v>0</v>
      </c>
      <c r="B15" s="12">
        <f>SUM(B12:B14)</f>
        <v>60</v>
      </c>
    </row>
    <row r="16">
      <c r="A16" s="11"/>
      <c r="B16" s="11"/>
    </row>
    <row r="17">
      <c r="A17" s="11"/>
      <c r="B17" s="11"/>
      <c r="C17" s="11"/>
    </row>
    <row r="18" ht="22.5" customHeight="1">
      <c r="A18" s="1" t="s">
        <v>23</v>
      </c>
      <c r="B18" s="1" t="s">
        <v>24</v>
      </c>
      <c r="C18" s="6" t="s">
        <v>25</v>
      </c>
      <c r="D18" s="6" t="s">
        <v>26</v>
      </c>
      <c r="E18" s="6" t="s">
        <v>27</v>
      </c>
    </row>
    <row r="19" ht="22.5" customHeight="1">
      <c r="A19" s="10" t="s">
        <v>28</v>
      </c>
      <c r="B19" s="12">
        <f>COUNTIF(University_Event_Expenses[Expense Category],A19)</f>
        <v>9</v>
      </c>
      <c r="C19" s="5">
        <f>MAXIFS(University_Event_Expenses[Actual Cost], University_Event_Expenses[Expense Category], A19)</f>
        <v>3400</v>
      </c>
      <c r="D19" s="5">
        <f>MINIFS(University_Event_Expenses[Actual Cost], University_Event_Expenses[Expense Category], A19)</f>
        <v>2750</v>
      </c>
      <c r="E19" s="5">
        <f>SUMIF(University_Event_Expenses[Expense Category],A19,University_Event_Expenses[Actual Cost])</f>
        <v>27700</v>
      </c>
    </row>
    <row r="20" ht="22.5" customHeight="1">
      <c r="A20" s="10" t="s">
        <v>29</v>
      </c>
      <c r="B20" s="12">
        <f>COUNTIF(University_Event_Expenses[Expense Category],A20)</f>
        <v>5</v>
      </c>
      <c r="C20" s="5">
        <f>MAXIFS(University_Event_Expenses[Actual Cost], University_Event_Expenses[Expense Category], A20)</f>
        <v>13000</v>
      </c>
      <c r="D20" s="5">
        <f>MINIFS(University_Event_Expenses[Actual Cost], University_Event_Expenses[Expense Category], A20)</f>
        <v>12000</v>
      </c>
      <c r="E20" s="5">
        <f>SUMIF(University_Event_Expenses[Expense Category],A20,University_Event_Expenses[Actual Cost])</f>
        <v>61500</v>
      </c>
    </row>
    <row r="21" ht="22.5" customHeight="1">
      <c r="A21" s="10" t="s">
        <v>30</v>
      </c>
      <c r="B21" s="12">
        <f>COUNTIF(University_Event_Expenses[Expense Category],A21)</f>
        <v>8</v>
      </c>
      <c r="C21" s="5">
        <f>MAXIFS(University_Event_Expenses[Actual Cost], University_Event_Expenses[Expense Category], A21)</f>
        <v>4900</v>
      </c>
      <c r="D21" s="5">
        <f>MINIFS(University_Event_Expenses[Actual Cost], University_Event_Expenses[Expense Category], A21)</f>
        <v>2900</v>
      </c>
      <c r="E21" s="5">
        <f>SUMIF(University_Event_Expenses[Expense Category],A21,University_Event_Expenses[Actual Cost])</f>
        <v>32700</v>
      </c>
      <c r="H21" s="14"/>
    </row>
    <row r="22" ht="22.5" customHeight="1">
      <c r="A22" s="10" t="s">
        <v>31</v>
      </c>
      <c r="B22" s="12">
        <f>COUNTIF(University_Event_Expenses[Expense Category],A22)</f>
        <v>10</v>
      </c>
      <c r="C22" s="5">
        <f>MAXIFS(University_Event_Expenses[Actual Cost], University_Event_Expenses[Expense Category], A22)</f>
        <v>1900</v>
      </c>
      <c r="D22" s="5">
        <f>MINIFS(University_Event_Expenses[Actual Cost], University_Event_Expenses[Expense Category], A22)</f>
        <v>880</v>
      </c>
      <c r="E22" s="5">
        <f>SUMIF(University_Event_Expenses[Expense Category],A22,University_Event_Expenses[Actual Cost])</f>
        <v>13550</v>
      </c>
      <c r="H22" s="14"/>
    </row>
    <row r="23" ht="22.5" customHeight="1">
      <c r="A23" s="10" t="s">
        <v>32</v>
      </c>
      <c r="B23" s="12">
        <f>COUNTIF(University_Event_Expenses[Expense Category],A23)</f>
        <v>8</v>
      </c>
      <c r="C23" s="5">
        <f>MAXIFS(University_Event_Expenses[Actual Cost], University_Event_Expenses[Expense Category], A23)</f>
        <v>1900</v>
      </c>
      <c r="D23" s="5">
        <f>MINIFS(University_Event_Expenses[Actual Cost], University_Event_Expenses[Expense Category], A23)</f>
        <v>950</v>
      </c>
      <c r="E23" s="5">
        <f>SUMIF(University_Event_Expenses[Expense Category],A23,University_Event_Expenses[Actual Cost])</f>
        <v>11950</v>
      </c>
    </row>
    <row r="24" ht="22.5" customHeight="1">
      <c r="A24" s="10" t="s">
        <v>33</v>
      </c>
      <c r="B24" s="12">
        <f>COUNTIF(University_Event_Expenses[Expense Category],A24)</f>
        <v>11</v>
      </c>
      <c r="C24" s="5">
        <f>MAXIFS(University_Event_Expenses[Actual Cost], University_Event_Expenses[Expense Category], A24)</f>
        <v>2400</v>
      </c>
      <c r="D24" s="5">
        <f>MINIFS(University_Event_Expenses[Actual Cost], University_Event_Expenses[Expense Category], A24)</f>
        <v>1500</v>
      </c>
      <c r="E24" s="5">
        <f>SUMIF(University_Event_Expenses[Expense Category],A24,University_Event_Expenses[Actual Cost])</f>
        <v>22250</v>
      </c>
    </row>
    <row r="25" ht="22.5" customHeight="1">
      <c r="A25" s="10" t="s">
        <v>34</v>
      </c>
      <c r="B25" s="12">
        <f>COUNTIF(University_Event_Expenses[Expense Category],A25)</f>
        <v>9</v>
      </c>
      <c r="C25" s="5">
        <f>MAXIFS(University_Event_Expenses[Actual Cost], University_Event_Expenses[Expense Category], A25)</f>
        <v>920</v>
      </c>
      <c r="D25" s="5">
        <f>MINIFS(University_Event_Expenses[Actual Cost], University_Event_Expenses[Expense Category], A25)</f>
        <v>650</v>
      </c>
      <c r="E25" s="5">
        <f>SUMIF(University_Event_Expenses[Expense Category],A25,University_Event_Expenses[Actual Cost])</f>
        <v>7170</v>
      </c>
    </row>
    <row r="26" ht="22.5" customHeight="1">
      <c r="A26" s="13" t="s">
        <v>0</v>
      </c>
      <c r="B26" s="13">
        <f>SUM(B19:B25)</f>
        <v>60</v>
      </c>
      <c r="C26" s="15" t="s">
        <v>35</v>
      </c>
      <c r="D26" s="15" t="s">
        <v>35</v>
      </c>
      <c r="E26" s="5">
        <f>SUM(E19:E25)</f>
        <v>176820</v>
      </c>
    </row>
    <row r="27">
      <c r="A27" s="11"/>
      <c r="B27" s="11"/>
    </row>
    <row r="28">
      <c r="A28" s="11"/>
      <c r="B28" s="11"/>
    </row>
    <row r="29">
      <c r="A29" s="11"/>
      <c r="B29" s="11"/>
    </row>
  </sheetData>
  <customSheetViews>
    <customSheetView guid="{290A88CB-9314-42F1-867B-BC3F08977215}" filter="1" showAutoFilter="1">
      <autoFilter ref="$A$1:$C$8">
        <filterColumn colId="0">
          <filters/>
        </filterColumn>
        <sortState ref="A1:C8">
          <sortCondition ref="A1:A8"/>
        </sortState>
      </autoFilter>
    </customSheetView>
  </customSheetViews>
  <dataValidations>
    <dataValidation type="custom" allowBlank="1" showDropDown="1" sqref="G2:G11">
      <formula1>OR(NOT(ISERROR(DATEVALUE(G2))), AND(ISNUMBER(G2), LEFT(CELL("format", G2))="D"))</formula1>
    </dataValidation>
    <dataValidation type="custom" allowBlank="1" showDropDown="1" sqref="B2:C8 E19:E25">
      <formula1>AND(ISNUMBER(B2),(NOT(OR(NOT(ISERROR(DATEVALUE(B2))), AND(ISNUMBER(B2), LEFT(CELL("format", B2))="D")))))</formula1>
    </dataValidation>
  </dataValidations>
  <drawing r:id="rId1"/>
  <tableParts count="4">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22.25"/>
    <col customWidth="1" min="3" max="3" width="23.5"/>
    <col customWidth="1" min="4" max="4" width="20.13"/>
    <col customWidth="1" min="5" max="5" width="17.38"/>
    <col customWidth="1" min="6" max="6" width="20.63"/>
    <col customWidth="1" min="7" max="7" width="21.5"/>
    <col customWidth="1" min="8" max="8" width="16.75"/>
    <col customWidth="1" min="9" max="9" width="23.5"/>
  </cols>
  <sheetData>
    <row r="1" ht="22.5" customHeight="1">
      <c r="A1" s="1" t="s">
        <v>36</v>
      </c>
      <c r="B1" s="1" t="s">
        <v>23</v>
      </c>
      <c r="C1" s="1" t="s">
        <v>37</v>
      </c>
      <c r="D1" s="1" t="s">
        <v>38</v>
      </c>
      <c r="E1" s="1" t="s">
        <v>39</v>
      </c>
      <c r="F1" s="1" t="s">
        <v>40</v>
      </c>
      <c r="G1" s="16" t="s">
        <v>41</v>
      </c>
      <c r="H1" s="1" t="s">
        <v>42</v>
      </c>
      <c r="I1" s="1" t="s">
        <v>8</v>
      </c>
    </row>
    <row r="2" ht="22.5" customHeight="1">
      <c r="A2" s="17">
        <v>1.0</v>
      </c>
      <c r="B2" s="18" t="s">
        <v>28</v>
      </c>
      <c r="C2" s="18" t="s">
        <v>43</v>
      </c>
      <c r="D2" s="19">
        <v>3200.0</v>
      </c>
      <c r="E2" s="19">
        <v>3000.0</v>
      </c>
      <c r="F2" s="18" t="s">
        <v>20</v>
      </c>
      <c r="G2" s="20">
        <v>46113.0</v>
      </c>
      <c r="H2" s="21">
        <v>46118.0</v>
      </c>
      <c r="I2" s="18" t="s">
        <v>13</v>
      </c>
    </row>
    <row r="3" ht="22.5" customHeight="1">
      <c r="A3" s="17">
        <v>2.0</v>
      </c>
      <c r="B3" s="18" t="s">
        <v>28</v>
      </c>
      <c r="C3" s="18" t="s">
        <v>43</v>
      </c>
      <c r="D3" s="19">
        <v>3200.0</v>
      </c>
      <c r="E3" s="19">
        <v>3100.0</v>
      </c>
      <c r="F3" s="18" t="s">
        <v>20</v>
      </c>
      <c r="G3" s="20">
        <v>46113.0</v>
      </c>
      <c r="H3" s="21">
        <v>46119.0</v>
      </c>
      <c r="I3" s="18" t="s">
        <v>13</v>
      </c>
    </row>
    <row r="4" ht="22.5" customHeight="1">
      <c r="A4" s="17">
        <v>3.0</v>
      </c>
      <c r="B4" s="18" t="s">
        <v>28</v>
      </c>
      <c r="C4" s="18" t="s">
        <v>43</v>
      </c>
      <c r="D4" s="19">
        <v>3200.0</v>
      </c>
      <c r="E4" s="19">
        <v>3300.0</v>
      </c>
      <c r="F4" s="18" t="s">
        <v>20</v>
      </c>
      <c r="G4" s="20">
        <v>46113.0</v>
      </c>
      <c r="H4" s="21">
        <v>46120.0</v>
      </c>
      <c r="I4" s="18" t="s">
        <v>13</v>
      </c>
    </row>
    <row r="5" ht="22.5" customHeight="1">
      <c r="A5" s="17">
        <v>4.0</v>
      </c>
      <c r="B5" s="18" t="s">
        <v>28</v>
      </c>
      <c r="C5" s="18" t="s">
        <v>43</v>
      </c>
      <c r="D5" s="19">
        <v>3200.0</v>
      </c>
      <c r="E5" s="19">
        <v>3150.0</v>
      </c>
      <c r="F5" s="18" t="s">
        <v>21</v>
      </c>
      <c r="G5" s="20">
        <v>46117.0</v>
      </c>
      <c r="H5" s="21">
        <v>46121.0</v>
      </c>
      <c r="I5" s="18" t="s">
        <v>13</v>
      </c>
    </row>
    <row r="6" ht="22.5" customHeight="1">
      <c r="A6" s="17">
        <v>5.0</v>
      </c>
      <c r="B6" s="18" t="s">
        <v>28</v>
      </c>
      <c r="C6" s="18" t="s">
        <v>43</v>
      </c>
      <c r="D6" s="19">
        <v>3200.0</v>
      </c>
      <c r="E6" s="19">
        <v>3400.0</v>
      </c>
      <c r="F6" s="18" t="s">
        <v>21</v>
      </c>
      <c r="G6" s="20">
        <v>46117.0</v>
      </c>
      <c r="H6" s="21">
        <v>46122.0</v>
      </c>
      <c r="I6" s="18" t="s">
        <v>13</v>
      </c>
    </row>
    <row r="7" ht="22.5" customHeight="1">
      <c r="A7" s="17">
        <v>6.0</v>
      </c>
      <c r="B7" s="18" t="s">
        <v>29</v>
      </c>
      <c r="C7" s="18" t="s">
        <v>44</v>
      </c>
      <c r="D7" s="19">
        <v>12000.0</v>
      </c>
      <c r="E7" s="19">
        <v>12000.0</v>
      </c>
      <c r="F7" s="18" t="s">
        <v>20</v>
      </c>
      <c r="G7" s="20">
        <v>46109.0</v>
      </c>
      <c r="H7" s="21">
        <v>46118.0</v>
      </c>
      <c r="I7" s="18" t="s">
        <v>17</v>
      </c>
    </row>
    <row r="8" ht="22.5" customHeight="1">
      <c r="A8" s="17">
        <v>7.0</v>
      </c>
      <c r="B8" s="18" t="s">
        <v>29</v>
      </c>
      <c r="C8" s="18" t="s">
        <v>44</v>
      </c>
      <c r="D8" s="19">
        <v>12000.0</v>
      </c>
      <c r="E8" s="19">
        <v>12000.0</v>
      </c>
      <c r="F8" s="18" t="s">
        <v>20</v>
      </c>
      <c r="G8" s="20">
        <v>46109.0</v>
      </c>
      <c r="H8" s="21">
        <v>46119.0</v>
      </c>
      <c r="I8" s="18" t="s">
        <v>17</v>
      </c>
    </row>
    <row r="9" ht="22.5" customHeight="1">
      <c r="A9" s="17">
        <v>8.0</v>
      </c>
      <c r="B9" s="18" t="s">
        <v>29</v>
      </c>
      <c r="C9" s="18" t="s">
        <v>44</v>
      </c>
      <c r="D9" s="19">
        <v>12000.0</v>
      </c>
      <c r="E9" s="19">
        <v>12500.0</v>
      </c>
      <c r="F9" s="18" t="s">
        <v>20</v>
      </c>
      <c r="G9" s="20">
        <v>46109.0</v>
      </c>
      <c r="H9" s="21">
        <v>46120.0</v>
      </c>
      <c r="I9" s="18" t="s">
        <v>17</v>
      </c>
    </row>
    <row r="10" ht="22.5" customHeight="1">
      <c r="A10" s="17">
        <v>9.0</v>
      </c>
      <c r="B10" s="18" t="s">
        <v>29</v>
      </c>
      <c r="C10" s="18" t="s">
        <v>44</v>
      </c>
      <c r="D10" s="19">
        <v>12000.0</v>
      </c>
      <c r="E10" s="19">
        <v>12000.0</v>
      </c>
      <c r="F10" s="18" t="s">
        <v>20</v>
      </c>
      <c r="G10" s="20">
        <v>46109.0</v>
      </c>
      <c r="H10" s="21">
        <v>46121.0</v>
      </c>
      <c r="I10" s="18" t="s">
        <v>17</v>
      </c>
    </row>
    <row r="11" ht="22.5" customHeight="1">
      <c r="A11" s="17">
        <v>10.0</v>
      </c>
      <c r="B11" s="18" t="s">
        <v>29</v>
      </c>
      <c r="C11" s="18" t="s">
        <v>44</v>
      </c>
      <c r="D11" s="19">
        <v>12000.0</v>
      </c>
      <c r="E11" s="19">
        <v>13000.0</v>
      </c>
      <c r="F11" s="18" t="s">
        <v>21</v>
      </c>
      <c r="G11" s="20">
        <v>46116.0</v>
      </c>
      <c r="H11" s="21">
        <v>46122.0</v>
      </c>
      <c r="I11" s="18" t="s">
        <v>17</v>
      </c>
    </row>
    <row r="12" ht="22.5" customHeight="1">
      <c r="A12" s="17">
        <v>11.0</v>
      </c>
      <c r="B12" s="18" t="s">
        <v>30</v>
      </c>
      <c r="C12" s="18" t="s">
        <v>45</v>
      </c>
      <c r="D12" s="19">
        <v>4500.0</v>
      </c>
      <c r="E12" s="19">
        <v>4700.0</v>
      </c>
      <c r="F12" s="18" t="s">
        <v>20</v>
      </c>
      <c r="G12" s="20">
        <v>46114.0</v>
      </c>
      <c r="H12" s="21">
        <v>46118.0</v>
      </c>
      <c r="I12" s="18" t="s">
        <v>14</v>
      </c>
    </row>
    <row r="13" ht="22.5" customHeight="1">
      <c r="A13" s="17">
        <v>12.0</v>
      </c>
      <c r="B13" s="18" t="s">
        <v>30</v>
      </c>
      <c r="C13" s="18" t="s">
        <v>45</v>
      </c>
      <c r="D13" s="19">
        <v>4500.0</v>
      </c>
      <c r="E13" s="19">
        <v>4600.0</v>
      </c>
      <c r="F13" s="18" t="s">
        <v>20</v>
      </c>
      <c r="G13" s="20">
        <v>46114.0</v>
      </c>
      <c r="H13" s="21">
        <v>46119.0</v>
      </c>
      <c r="I13" s="18" t="s">
        <v>14</v>
      </c>
    </row>
    <row r="14" ht="22.5" customHeight="1">
      <c r="A14" s="17">
        <v>13.0</v>
      </c>
      <c r="B14" s="18" t="s">
        <v>30</v>
      </c>
      <c r="C14" s="18" t="s">
        <v>45</v>
      </c>
      <c r="D14" s="19">
        <v>4500.0</v>
      </c>
      <c r="E14" s="19">
        <v>4800.0</v>
      </c>
      <c r="F14" s="18" t="s">
        <v>20</v>
      </c>
      <c r="G14" s="20">
        <v>46114.0</v>
      </c>
      <c r="H14" s="21">
        <v>46120.0</v>
      </c>
      <c r="I14" s="18" t="s">
        <v>14</v>
      </c>
    </row>
    <row r="15" ht="22.5" customHeight="1">
      <c r="A15" s="17">
        <v>14.0</v>
      </c>
      <c r="B15" s="18" t="s">
        <v>30</v>
      </c>
      <c r="C15" s="18" t="s">
        <v>45</v>
      </c>
      <c r="D15" s="19">
        <v>4500.0</v>
      </c>
      <c r="E15" s="19">
        <v>4500.0</v>
      </c>
      <c r="F15" s="18" t="s">
        <v>21</v>
      </c>
      <c r="G15" s="20">
        <v>46117.0</v>
      </c>
      <c r="H15" s="21">
        <v>46121.0</v>
      </c>
      <c r="I15" s="18" t="s">
        <v>14</v>
      </c>
    </row>
    <row r="16" ht="22.5" customHeight="1">
      <c r="A16" s="17">
        <v>15.0</v>
      </c>
      <c r="B16" s="18" t="s">
        <v>30</v>
      </c>
      <c r="C16" s="18" t="s">
        <v>45</v>
      </c>
      <c r="D16" s="19">
        <v>4500.0</v>
      </c>
      <c r="E16" s="19">
        <v>4900.0</v>
      </c>
      <c r="F16" s="18" t="s">
        <v>21</v>
      </c>
      <c r="G16" s="20">
        <v>46117.0</v>
      </c>
      <c r="H16" s="21">
        <v>46122.0</v>
      </c>
      <c r="I16" s="18" t="s">
        <v>14</v>
      </c>
    </row>
    <row r="17" ht="22.5" customHeight="1">
      <c r="A17" s="17">
        <v>16.0</v>
      </c>
      <c r="B17" s="18" t="s">
        <v>31</v>
      </c>
      <c r="C17" s="18" t="s">
        <v>46</v>
      </c>
      <c r="D17" s="19">
        <v>1800.0</v>
      </c>
      <c r="E17" s="19">
        <v>1700.0</v>
      </c>
      <c r="F17" s="18" t="s">
        <v>20</v>
      </c>
      <c r="G17" s="20">
        <v>46111.0</v>
      </c>
      <c r="H17" s="21">
        <v>46118.0</v>
      </c>
      <c r="I17" s="18" t="s">
        <v>15</v>
      </c>
    </row>
    <row r="18" ht="22.5" customHeight="1">
      <c r="A18" s="17">
        <v>17.0</v>
      </c>
      <c r="B18" s="18" t="s">
        <v>31</v>
      </c>
      <c r="C18" s="18" t="s">
        <v>46</v>
      </c>
      <c r="D18" s="19">
        <v>1800.0</v>
      </c>
      <c r="E18" s="19">
        <v>1850.0</v>
      </c>
      <c r="F18" s="18" t="s">
        <v>22</v>
      </c>
      <c r="G18" s="20">
        <v>46111.0</v>
      </c>
      <c r="H18" s="21">
        <v>46119.0</v>
      </c>
      <c r="I18" s="18" t="s">
        <v>15</v>
      </c>
    </row>
    <row r="19" ht="22.5" customHeight="1">
      <c r="A19" s="17">
        <v>18.0</v>
      </c>
      <c r="B19" s="18" t="s">
        <v>31</v>
      </c>
      <c r="C19" s="18" t="s">
        <v>46</v>
      </c>
      <c r="D19" s="19">
        <v>1800.0</v>
      </c>
      <c r="E19" s="19">
        <v>1900.0</v>
      </c>
      <c r="F19" s="18" t="s">
        <v>22</v>
      </c>
      <c r="G19" s="20">
        <v>46111.0</v>
      </c>
      <c r="H19" s="21">
        <v>46120.0</v>
      </c>
      <c r="I19" s="18" t="s">
        <v>15</v>
      </c>
    </row>
    <row r="20" ht="22.5" customHeight="1">
      <c r="A20" s="17">
        <v>19.0</v>
      </c>
      <c r="B20" s="18" t="s">
        <v>31</v>
      </c>
      <c r="C20" s="18" t="s">
        <v>47</v>
      </c>
      <c r="D20" s="19">
        <v>1200.0</v>
      </c>
      <c r="E20" s="19">
        <v>1100.0</v>
      </c>
      <c r="F20" s="18" t="s">
        <v>20</v>
      </c>
      <c r="G20" s="20">
        <v>46110.0</v>
      </c>
      <c r="H20" s="21">
        <v>46118.0</v>
      </c>
      <c r="I20" s="18" t="s">
        <v>18</v>
      </c>
    </row>
    <row r="21" ht="22.5" customHeight="1">
      <c r="A21" s="17">
        <v>20.0</v>
      </c>
      <c r="B21" s="18" t="s">
        <v>31</v>
      </c>
      <c r="C21" s="18" t="s">
        <v>47</v>
      </c>
      <c r="D21" s="19">
        <v>1200.0</v>
      </c>
      <c r="E21" s="19">
        <v>1250.0</v>
      </c>
      <c r="F21" s="18" t="s">
        <v>20</v>
      </c>
      <c r="G21" s="20">
        <v>46110.0</v>
      </c>
      <c r="H21" s="21">
        <v>46119.0</v>
      </c>
      <c r="I21" s="18" t="s">
        <v>18</v>
      </c>
    </row>
    <row r="22" ht="22.5" customHeight="1">
      <c r="A22" s="17">
        <v>21.0</v>
      </c>
      <c r="B22" s="18" t="s">
        <v>32</v>
      </c>
      <c r="C22" s="18" t="s">
        <v>48</v>
      </c>
      <c r="D22" s="19">
        <v>1500.0</v>
      </c>
      <c r="E22" s="19">
        <v>1400.0</v>
      </c>
      <c r="F22" s="18" t="s">
        <v>20</v>
      </c>
      <c r="G22" s="20">
        <v>46117.0</v>
      </c>
      <c r="H22" s="21">
        <v>46118.0</v>
      </c>
      <c r="I22" s="18" t="s">
        <v>14</v>
      </c>
    </row>
    <row r="23" ht="22.5" customHeight="1">
      <c r="A23" s="17">
        <v>22.0</v>
      </c>
      <c r="B23" s="18" t="s">
        <v>32</v>
      </c>
      <c r="C23" s="18" t="s">
        <v>48</v>
      </c>
      <c r="D23" s="19">
        <v>1500.0</v>
      </c>
      <c r="E23" s="19">
        <v>1550.0</v>
      </c>
      <c r="F23" s="18" t="s">
        <v>20</v>
      </c>
      <c r="G23" s="20">
        <v>46117.0</v>
      </c>
      <c r="H23" s="21">
        <v>46120.0</v>
      </c>
      <c r="I23" s="18" t="s">
        <v>14</v>
      </c>
    </row>
    <row r="24" ht="22.5" customHeight="1">
      <c r="A24" s="17">
        <v>23.0</v>
      </c>
      <c r="B24" s="18" t="s">
        <v>32</v>
      </c>
      <c r="C24" s="18" t="s">
        <v>48</v>
      </c>
      <c r="D24" s="19">
        <v>1500.0</v>
      </c>
      <c r="E24" s="19">
        <v>1600.0</v>
      </c>
      <c r="F24" s="18" t="s">
        <v>21</v>
      </c>
      <c r="G24" s="20">
        <v>46118.0</v>
      </c>
      <c r="H24" s="21">
        <v>46122.0</v>
      </c>
      <c r="I24" s="18" t="s">
        <v>14</v>
      </c>
    </row>
    <row r="25" ht="22.5" customHeight="1">
      <c r="A25" s="17">
        <v>24.0</v>
      </c>
      <c r="B25" s="18" t="s">
        <v>32</v>
      </c>
      <c r="C25" s="18" t="s">
        <v>49</v>
      </c>
      <c r="D25" s="19">
        <v>1000.0</v>
      </c>
      <c r="E25" s="19">
        <v>950.0</v>
      </c>
      <c r="F25" s="18" t="s">
        <v>20</v>
      </c>
      <c r="G25" s="20">
        <v>46116.0</v>
      </c>
      <c r="H25" s="21">
        <v>46118.0</v>
      </c>
      <c r="I25" s="18" t="s">
        <v>14</v>
      </c>
    </row>
    <row r="26" ht="22.5" customHeight="1">
      <c r="A26" s="17">
        <v>25.0</v>
      </c>
      <c r="B26" s="18" t="s">
        <v>32</v>
      </c>
      <c r="C26" s="18" t="s">
        <v>49</v>
      </c>
      <c r="D26" s="19">
        <v>1000.0</v>
      </c>
      <c r="E26" s="19">
        <v>1000.0</v>
      </c>
      <c r="F26" s="18" t="s">
        <v>20</v>
      </c>
      <c r="G26" s="20">
        <v>46116.0</v>
      </c>
      <c r="H26" s="21">
        <v>46121.0</v>
      </c>
      <c r="I26" s="18" t="s">
        <v>14</v>
      </c>
    </row>
    <row r="27" ht="22.5" customHeight="1">
      <c r="A27" s="17">
        <v>26.0</v>
      </c>
      <c r="B27" s="18" t="s">
        <v>33</v>
      </c>
      <c r="C27" s="18" t="s">
        <v>50</v>
      </c>
      <c r="D27" s="19">
        <v>2200.0</v>
      </c>
      <c r="E27" s="19">
        <v>2200.0</v>
      </c>
      <c r="F27" s="18" t="s">
        <v>20</v>
      </c>
      <c r="G27" s="20">
        <v>46115.0</v>
      </c>
      <c r="H27" s="21">
        <v>46118.0</v>
      </c>
      <c r="I27" s="18" t="s">
        <v>17</v>
      </c>
    </row>
    <row r="28" ht="22.5" customHeight="1">
      <c r="A28" s="17">
        <v>27.0</v>
      </c>
      <c r="B28" s="18" t="s">
        <v>33</v>
      </c>
      <c r="C28" s="18" t="s">
        <v>50</v>
      </c>
      <c r="D28" s="19">
        <v>2200.0</v>
      </c>
      <c r="E28" s="19">
        <v>2300.0</v>
      </c>
      <c r="F28" s="18" t="s">
        <v>20</v>
      </c>
      <c r="G28" s="20">
        <v>46115.0</v>
      </c>
      <c r="H28" s="21">
        <v>46119.0</v>
      </c>
      <c r="I28" s="18" t="s">
        <v>17</v>
      </c>
    </row>
    <row r="29" ht="22.5" customHeight="1">
      <c r="A29" s="17">
        <v>28.0</v>
      </c>
      <c r="B29" s="18" t="s">
        <v>33</v>
      </c>
      <c r="C29" s="18" t="s">
        <v>50</v>
      </c>
      <c r="D29" s="19">
        <v>2200.0</v>
      </c>
      <c r="E29" s="19">
        <v>2250.0</v>
      </c>
      <c r="F29" s="18" t="s">
        <v>20</v>
      </c>
      <c r="G29" s="20">
        <v>46115.0</v>
      </c>
      <c r="H29" s="21">
        <v>46120.0</v>
      </c>
      <c r="I29" s="18" t="s">
        <v>17</v>
      </c>
    </row>
    <row r="30" ht="22.5" customHeight="1">
      <c r="A30" s="17">
        <v>29.0</v>
      </c>
      <c r="B30" s="18" t="s">
        <v>33</v>
      </c>
      <c r="C30" s="18" t="s">
        <v>50</v>
      </c>
      <c r="D30" s="19">
        <v>2200.0</v>
      </c>
      <c r="E30" s="19">
        <v>2400.0</v>
      </c>
      <c r="F30" s="18" t="s">
        <v>21</v>
      </c>
      <c r="G30" s="20">
        <v>46117.0</v>
      </c>
      <c r="H30" s="21">
        <v>46121.0</v>
      </c>
      <c r="I30" s="18" t="s">
        <v>17</v>
      </c>
    </row>
    <row r="31" ht="22.5" customHeight="1">
      <c r="A31" s="17">
        <v>30.0</v>
      </c>
      <c r="B31" s="18" t="s">
        <v>33</v>
      </c>
      <c r="C31" s="18" t="s">
        <v>50</v>
      </c>
      <c r="D31" s="19">
        <v>2200.0</v>
      </c>
      <c r="E31" s="19">
        <v>2200.0</v>
      </c>
      <c r="F31" s="18" t="s">
        <v>21</v>
      </c>
      <c r="G31" s="20">
        <v>46117.0</v>
      </c>
      <c r="H31" s="21">
        <v>46122.0</v>
      </c>
      <c r="I31" s="18" t="s">
        <v>17</v>
      </c>
    </row>
    <row r="32" ht="22.5" customHeight="1">
      <c r="A32" s="17">
        <v>31.0</v>
      </c>
      <c r="B32" s="18" t="s">
        <v>33</v>
      </c>
      <c r="C32" s="18" t="s">
        <v>51</v>
      </c>
      <c r="D32" s="19">
        <v>2000.0</v>
      </c>
      <c r="E32" s="19">
        <v>1950.0</v>
      </c>
      <c r="F32" s="18" t="s">
        <v>20</v>
      </c>
      <c r="G32" s="20">
        <v>46115.0</v>
      </c>
      <c r="H32" s="21">
        <v>46118.0</v>
      </c>
      <c r="I32" s="18" t="s">
        <v>17</v>
      </c>
    </row>
    <row r="33" ht="22.5" customHeight="1">
      <c r="A33" s="17">
        <v>32.0</v>
      </c>
      <c r="B33" s="18" t="s">
        <v>33</v>
      </c>
      <c r="C33" s="18" t="s">
        <v>51</v>
      </c>
      <c r="D33" s="19">
        <v>2000.0</v>
      </c>
      <c r="E33" s="19">
        <v>2050.0</v>
      </c>
      <c r="F33" s="18" t="s">
        <v>20</v>
      </c>
      <c r="G33" s="20">
        <v>46115.0</v>
      </c>
      <c r="H33" s="21">
        <v>46119.0</v>
      </c>
      <c r="I33" s="18" t="s">
        <v>17</v>
      </c>
    </row>
    <row r="34" ht="22.5" customHeight="1">
      <c r="A34" s="17">
        <v>33.0</v>
      </c>
      <c r="B34" s="18" t="s">
        <v>33</v>
      </c>
      <c r="C34" s="18" t="s">
        <v>51</v>
      </c>
      <c r="D34" s="19">
        <v>2000.0</v>
      </c>
      <c r="E34" s="19">
        <v>2100.0</v>
      </c>
      <c r="F34" s="18" t="s">
        <v>21</v>
      </c>
      <c r="G34" s="20">
        <v>46117.0</v>
      </c>
      <c r="H34" s="21">
        <v>46120.0</v>
      </c>
      <c r="I34" s="18" t="s">
        <v>17</v>
      </c>
    </row>
    <row r="35" ht="22.5" customHeight="1">
      <c r="A35" s="17">
        <v>34.0</v>
      </c>
      <c r="B35" s="18" t="s">
        <v>34</v>
      </c>
      <c r="C35" s="18" t="s">
        <v>52</v>
      </c>
      <c r="D35" s="19">
        <v>900.0</v>
      </c>
      <c r="E35" s="19">
        <v>850.0</v>
      </c>
      <c r="F35" s="18" t="s">
        <v>20</v>
      </c>
      <c r="G35" s="20">
        <v>46116.0</v>
      </c>
      <c r="H35" s="21">
        <v>46118.0</v>
      </c>
      <c r="I35" s="18" t="s">
        <v>13</v>
      </c>
    </row>
    <row r="36" ht="22.5" customHeight="1">
      <c r="A36" s="17">
        <v>35.0</v>
      </c>
      <c r="B36" s="18" t="s">
        <v>34</v>
      </c>
      <c r="C36" s="18" t="s">
        <v>52</v>
      </c>
      <c r="D36" s="19">
        <v>900.0</v>
      </c>
      <c r="E36" s="19">
        <v>920.0</v>
      </c>
      <c r="F36" s="18" t="s">
        <v>20</v>
      </c>
      <c r="G36" s="20">
        <v>46116.0</v>
      </c>
      <c r="H36" s="21">
        <v>46119.0</v>
      </c>
      <c r="I36" s="18" t="s">
        <v>13</v>
      </c>
    </row>
    <row r="37" ht="22.5" customHeight="1">
      <c r="A37" s="17">
        <v>36.0</v>
      </c>
      <c r="B37" s="18" t="s">
        <v>34</v>
      </c>
      <c r="C37" s="18" t="s">
        <v>52</v>
      </c>
      <c r="D37" s="19">
        <v>900.0</v>
      </c>
      <c r="E37" s="19">
        <v>880.0</v>
      </c>
      <c r="F37" s="18" t="s">
        <v>22</v>
      </c>
      <c r="G37" s="20">
        <v>46116.0</v>
      </c>
      <c r="H37" s="21">
        <v>46120.0</v>
      </c>
      <c r="I37" s="18" t="s">
        <v>13</v>
      </c>
    </row>
    <row r="38" ht="22.5" customHeight="1">
      <c r="A38" s="17">
        <v>37.0</v>
      </c>
      <c r="B38" s="18" t="s">
        <v>34</v>
      </c>
      <c r="C38" s="18" t="s">
        <v>53</v>
      </c>
      <c r="D38" s="19">
        <v>700.0</v>
      </c>
      <c r="E38" s="19">
        <v>650.0</v>
      </c>
      <c r="F38" s="18" t="s">
        <v>20</v>
      </c>
      <c r="G38" s="20">
        <v>46116.0</v>
      </c>
      <c r="H38" s="21">
        <v>46118.0</v>
      </c>
      <c r="I38" s="18" t="s">
        <v>16</v>
      </c>
    </row>
    <row r="39" ht="22.5" customHeight="1">
      <c r="A39" s="17">
        <v>38.0</v>
      </c>
      <c r="B39" s="18" t="s">
        <v>34</v>
      </c>
      <c r="C39" s="18" t="s">
        <v>53</v>
      </c>
      <c r="D39" s="19">
        <v>700.0</v>
      </c>
      <c r="E39" s="19">
        <v>720.0</v>
      </c>
      <c r="F39" s="18" t="s">
        <v>21</v>
      </c>
      <c r="G39" s="20">
        <v>46116.0</v>
      </c>
      <c r="H39" s="21">
        <v>46119.0</v>
      </c>
      <c r="I39" s="18" t="s">
        <v>16</v>
      </c>
    </row>
    <row r="40" ht="22.5" customHeight="1">
      <c r="A40" s="17">
        <v>39.0</v>
      </c>
      <c r="B40" s="18" t="s">
        <v>34</v>
      </c>
      <c r="C40" s="18" t="s">
        <v>53</v>
      </c>
      <c r="D40" s="19">
        <v>700.0</v>
      </c>
      <c r="E40" s="19">
        <v>700.0</v>
      </c>
      <c r="F40" s="18" t="s">
        <v>22</v>
      </c>
      <c r="G40" s="20">
        <v>46118.0</v>
      </c>
      <c r="H40" s="21">
        <v>46121.0</v>
      </c>
      <c r="I40" s="18" t="s">
        <v>16</v>
      </c>
    </row>
    <row r="41" ht="22.5" customHeight="1">
      <c r="A41" s="17">
        <v>40.0</v>
      </c>
      <c r="B41" s="18" t="s">
        <v>28</v>
      </c>
      <c r="C41" s="18" t="s">
        <v>54</v>
      </c>
      <c r="D41" s="19">
        <v>2800.0</v>
      </c>
      <c r="E41" s="19">
        <v>2900.0</v>
      </c>
      <c r="F41" s="18" t="s">
        <v>20</v>
      </c>
      <c r="G41" s="20">
        <v>46113.0</v>
      </c>
      <c r="H41" s="21">
        <v>46118.0</v>
      </c>
      <c r="I41" s="18" t="s">
        <v>13</v>
      </c>
    </row>
    <row r="42" ht="22.5" customHeight="1">
      <c r="A42" s="17">
        <v>41.0</v>
      </c>
      <c r="B42" s="18" t="s">
        <v>28</v>
      </c>
      <c r="C42" s="18" t="s">
        <v>54</v>
      </c>
      <c r="D42" s="19">
        <v>2800.0</v>
      </c>
      <c r="E42" s="19">
        <v>2750.0</v>
      </c>
      <c r="F42" s="18" t="s">
        <v>20</v>
      </c>
      <c r="G42" s="20">
        <v>46113.0</v>
      </c>
      <c r="H42" s="21">
        <v>46119.0</v>
      </c>
      <c r="I42" s="18" t="s">
        <v>13</v>
      </c>
    </row>
    <row r="43" ht="22.5" customHeight="1">
      <c r="A43" s="17">
        <v>42.0</v>
      </c>
      <c r="B43" s="18" t="s">
        <v>28</v>
      </c>
      <c r="C43" s="18" t="s">
        <v>54</v>
      </c>
      <c r="D43" s="19">
        <v>2800.0</v>
      </c>
      <c r="E43" s="19">
        <v>3000.0</v>
      </c>
      <c r="F43" s="18" t="s">
        <v>20</v>
      </c>
      <c r="G43" s="20">
        <v>46113.0</v>
      </c>
      <c r="H43" s="21">
        <v>46120.0</v>
      </c>
      <c r="I43" s="18" t="s">
        <v>13</v>
      </c>
    </row>
    <row r="44" ht="22.5" customHeight="1">
      <c r="A44" s="17">
        <v>43.0</v>
      </c>
      <c r="B44" s="18" t="s">
        <v>28</v>
      </c>
      <c r="C44" s="18" t="s">
        <v>54</v>
      </c>
      <c r="D44" s="19">
        <v>2800.0</v>
      </c>
      <c r="E44" s="19">
        <v>3100.0</v>
      </c>
      <c r="F44" s="18" t="s">
        <v>21</v>
      </c>
      <c r="G44" s="20">
        <v>46117.0</v>
      </c>
      <c r="H44" s="21">
        <v>46122.0</v>
      </c>
      <c r="I44" s="18" t="s">
        <v>13</v>
      </c>
    </row>
    <row r="45" ht="22.5" customHeight="1">
      <c r="A45" s="17">
        <v>44.0</v>
      </c>
      <c r="B45" s="18" t="s">
        <v>31</v>
      </c>
      <c r="C45" s="18" t="s">
        <v>55</v>
      </c>
      <c r="D45" s="19">
        <v>1500.0</v>
      </c>
      <c r="E45" s="19">
        <v>1450.0</v>
      </c>
      <c r="F45" s="18" t="s">
        <v>20</v>
      </c>
      <c r="G45" s="20">
        <v>46110.0</v>
      </c>
      <c r="H45" s="21">
        <v>46118.0</v>
      </c>
      <c r="I45" s="18" t="s">
        <v>18</v>
      </c>
    </row>
    <row r="46" ht="22.5" customHeight="1">
      <c r="A46" s="17">
        <v>45.0</v>
      </c>
      <c r="B46" s="18" t="s">
        <v>31</v>
      </c>
      <c r="C46" s="18" t="s">
        <v>55</v>
      </c>
      <c r="D46" s="19">
        <v>1500.0</v>
      </c>
      <c r="E46" s="19">
        <v>1550.0</v>
      </c>
      <c r="F46" s="18" t="s">
        <v>20</v>
      </c>
      <c r="G46" s="20">
        <v>46110.0</v>
      </c>
      <c r="H46" s="21">
        <v>46119.0</v>
      </c>
      <c r="I46" s="18" t="s">
        <v>18</v>
      </c>
    </row>
    <row r="47" ht="22.5" customHeight="1">
      <c r="A47" s="17">
        <v>46.0</v>
      </c>
      <c r="B47" s="18" t="s">
        <v>32</v>
      </c>
      <c r="C47" s="18" t="s">
        <v>56</v>
      </c>
      <c r="D47" s="19">
        <v>1800.0</v>
      </c>
      <c r="E47" s="19">
        <v>1700.0</v>
      </c>
      <c r="F47" s="18" t="s">
        <v>20</v>
      </c>
      <c r="G47" s="20">
        <v>46114.0</v>
      </c>
      <c r="H47" s="21">
        <v>46118.0</v>
      </c>
      <c r="I47" s="18" t="s">
        <v>14</v>
      </c>
    </row>
    <row r="48" ht="22.5" customHeight="1">
      <c r="A48" s="17">
        <v>47.0</v>
      </c>
      <c r="B48" s="18" t="s">
        <v>32</v>
      </c>
      <c r="C48" s="18" t="s">
        <v>56</v>
      </c>
      <c r="D48" s="19">
        <v>1800.0</v>
      </c>
      <c r="E48" s="19">
        <v>1850.0</v>
      </c>
      <c r="F48" s="18" t="s">
        <v>21</v>
      </c>
      <c r="G48" s="20">
        <v>46117.0</v>
      </c>
      <c r="H48" s="21">
        <v>46120.0</v>
      </c>
      <c r="I48" s="18" t="s">
        <v>14</v>
      </c>
    </row>
    <row r="49" ht="22.5" customHeight="1">
      <c r="A49" s="17">
        <v>48.0</v>
      </c>
      <c r="B49" s="18" t="s">
        <v>32</v>
      </c>
      <c r="C49" s="18" t="s">
        <v>56</v>
      </c>
      <c r="D49" s="19">
        <v>1800.0</v>
      </c>
      <c r="E49" s="19">
        <v>1900.0</v>
      </c>
      <c r="F49" s="18" t="s">
        <v>22</v>
      </c>
      <c r="G49" s="20">
        <v>46118.0</v>
      </c>
      <c r="H49" s="21">
        <v>46122.0</v>
      </c>
      <c r="I49" s="18" t="s">
        <v>14</v>
      </c>
    </row>
    <row r="50" ht="22.5" customHeight="1">
      <c r="A50" s="17">
        <v>49.0</v>
      </c>
      <c r="B50" s="18" t="s">
        <v>30</v>
      </c>
      <c r="C50" s="18" t="s">
        <v>57</v>
      </c>
      <c r="D50" s="19">
        <v>3000.0</v>
      </c>
      <c r="E50" s="19">
        <v>2900.0</v>
      </c>
      <c r="F50" s="18" t="s">
        <v>20</v>
      </c>
      <c r="G50" s="20">
        <v>46114.0</v>
      </c>
      <c r="H50" s="21">
        <v>46118.0</v>
      </c>
      <c r="I50" s="18" t="s">
        <v>14</v>
      </c>
    </row>
    <row r="51" ht="22.5" customHeight="1">
      <c r="A51" s="17">
        <v>50.0</v>
      </c>
      <c r="B51" s="18" t="s">
        <v>30</v>
      </c>
      <c r="C51" s="18" t="s">
        <v>57</v>
      </c>
      <c r="D51" s="19">
        <v>3000.0</v>
      </c>
      <c r="E51" s="19">
        <v>3100.0</v>
      </c>
      <c r="F51" s="18" t="s">
        <v>20</v>
      </c>
      <c r="G51" s="20">
        <v>46114.0</v>
      </c>
      <c r="H51" s="21">
        <v>46119.0</v>
      </c>
      <c r="I51" s="18" t="s">
        <v>14</v>
      </c>
    </row>
    <row r="52" ht="22.5" customHeight="1">
      <c r="A52" s="17">
        <v>51.0</v>
      </c>
      <c r="B52" s="18" t="s">
        <v>30</v>
      </c>
      <c r="C52" s="18" t="s">
        <v>57</v>
      </c>
      <c r="D52" s="19">
        <v>3000.0</v>
      </c>
      <c r="E52" s="19">
        <v>3200.0</v>
      </c>
      <c r="F52" s="18" t="s">
        <v>22</v>
      </c>
      <c r="G52" s="20">
        <v>46117.0</v>
      </c>
      <c r="H52" s="21">
        <v>46121.0</v>
      </c>
      <c r="I52" s="18" t="s">
        <v>14</v>
      </c>
    </row>
    <row r="53" ht="22.5" customHeight="1">
      <c r="A53" s="17">
        <v>52.0</v>
      </c>
      <c r="B53" s="18" t="s">
        <v>34</v>
      </c>
      <c r="C53" s="18" t="s">
        <v>58</v>
      </c>
      <c r="D53" s="19">
        <v>800.0</v>
      </c>
      <c r="E53" s="19">
        <v>780.0</v>
      </c>
      <c r="F53" s="18" t="s">
        <v>20</v>
      </c>
      <c r="G53" s="20">
        <v>46116.0</v>
      </c>
      <c r="H53" s="21">
        <v>46118.0</v>
      </c>
      <c r="I53" s="18" t="s">
        <v>16</v>
      </c>
    </row>
    <row r="54" ht="22.5" customHeight="1">
      <c r="A54" s="17">
        <v>53.0</v>
      </c>
      <c r="B54" s="18" t="s">
        <v>34</v>
      </c>
      <c r="C54" s="18" t="s">
        <v>58</v>
      </c>
      <c r="D54" s="19">
        <v>800.0</v>
      </c>
      <c r="E54" s="19">
        <v>820.0</v>
      </c>
      <c r="F54" s="18" t="s">
        <v>20</v>
      </c>
      <c r="G54" s="20">
        <v>46116.0</v>
      </c>
      <c r="H54" s="21">
        <v>46119.0</v>
      </c>
      <c r="I54" s="18" t="s">
        <v>16</v>
      </c>
    </row>
    <row r="55" ht="22.5" customHeight="1">
      <c r="A55" s="17">
        <v>54.0</v>
      </c>
      <c r="B55" s="18" t="s">
        <v>34</v>
      </c>
      <c r="C55" s="18" t="s">
        <v>58</v>
      </c>
      <c r="D55" s="19">
        <v>800.0</v>
      </c>
      <c r="E55" s="19">
        <v>850.0</v>
      </c>
      <c r="F55" s="18" t="s">
        <v>21</v>
      </c>
      <c r="G55" s="20">
        <v>46118.0</v>
      </c>
      <c r="H55" s="21">
        <v>46122.0</v>
      </c>
      <c r="I55" s="18" t="s">
        <v>16</v>
      </c>
    </row>
    <row r="56" ht="22.5" customHeight="1">
      <c r="A56" s="17">
        <v>55.0</v>
      </c>
      <c r="B56" s="18" t="s">
        <v>33</v>
      </c>
      <c r="C56" s="18" t="s">
        <v>59</v>
      </c>
      <c r="D56" s="19">
        <v>1500.0</v>
      </c>
      <c r="E56" s="19">
        <v>1500.0</v>
      </c>
      <c r="F56" s="18" t="s">
        <v>20</v>
      </c>
      <c r="G56" s="20">
        <v>46115.0</v>
      </c>
      <c r="H56" s="21">
        <v>46118.0</v>
      </c>
      <c r="I56" s="18" t="s">
        <v>17</v>
      </c>
    </row>
    <row r="57" ht="22.5" customHeight="1">
      <c r="A57" s="17">
        <v>56.0</v>
      </c>
      <c r="B57" s="18" t="s">
        <v>33</v>
      </c>
      <c r="C57" s="18" t="s">
        <v>59</v>
      </c>
      <c r="D57" s="19">
        <v>1500.0</v>
      </c>
      <c r="E57" s="19">
        <v>1600.0</v>
      </c>
      <c r="F57" s="18" t="s">
        <v>20</v>
      </c>
      <c r="G57" s="20">
        <v>46115.0</v>
      </c>
      <c r="H57" s="21">
        <v>46119.0</v>
      </c>
      <c r="I57" s="18" t="s">
        <v>17</v>
      </c>
    </row>
    <row r="58" ht="22.5" customHeight="1">
      <c r="A58" s="17">
        <v>57.0</v>
      </c>
      <c r="B58" s="18" t="s">
        <v>33</v>
      </c>
      <c r="C58" s="18" t="s">
        <v>59</v>
      </c>
      <c r="D58" s="19">
        <v>1500.0</v>
      </c>
      <c r="E58" s="19">
        <v>1700.0</v>
      </c>
      <c r="F58" s="18" t="s">
        <v>21</v>
      </c>
      <c r="G58" s="20">
        <v>46117.0</v>
      </c>
      <c r="H58" s="21">
        <v>46121.0</v>
      </c>
      <c r="I58" s="18" t="s">
        <v>17</v>
      </c>
    </row>
    <row r="59" ht="22.5" customHeight="1">
      <c r="A59" s="17">
        <v>58.0</v>
      </c>
      <c r="B59" s="18" t="s">
        <v>31</v>
      </c>
      <c r="C59" s="18" t="s">
        <v>60</v>
      </c>
      <c r="D59" s="19">
        <v>900.0</v>
      </c>
      <c r="E59" s="19">
        <v>880.0</v>
      </c>
      <c r="F59" s="18" t="s">
        <v>20</v>
      </c>
      <c r="G59" s="20">
        <v>46112.0</v>
      </c>
      <c r="H59" s="21">
        <v>46118.0</v>
      </c>
      <c r="I59" s="18" t="s">
        <v>15</v>
      </c>
    </row>
    <row r="60" ht="22.5" customHeight="1">
      <c r="A60" s="17">
        <v>59.0</v>
      </c>
      <c r="B60" s="18" t="s">
        <v>31</v>
      </c>
      <c r="C60" s="18" t="s">
        <v>60</v>
      </c>
      <c r="D60" s="19">
        <v>900.0</v>
      </c>
      <c r="E60" s="19">
        <v>920.0</v>
      </c>
      <c r="F60" s="18" t="s">
        <v>20</v>
      </c>
      <c r="G60" s="20">
        <v>46112.0</v>
      </c>
      <c r="H60" s="21">
        <v>46119.0</v>
      </c>
      <c r="I60" s="18" t="s">
        <v>15</v>
      </c>
    </row>
    <row r="61" ht="22.5" customHeight="1">
      <c r="A61" s="17">
        <v>60.0</v>
      </c>
      <c r="B61" s="18" t="s">
        <v>31</v>
      </c>
      <c r="C61" s="18" t="s">
        <v>60</v>
      </c>
      <c r="D61" s="19">
        <v>900.0</v>
      </c>
      <c r="E61" s="19">
        <v>950.0</v>
      </c>
      <c r="F61" s="18" t="s">
        <v>21</v>
      </c>
      <c r="G61" s="20">
        <v>46118.0</v>
      </c>
      <c r="H61" s="21">
        <v>46122.0</v>
      </c>
      <c r="I61" s="18" t="s">
        <v>15</v>
      </c>
    </row>
  </sheetData>
  <dataValidations>
    <dataValidation type="custom" allowBlank="1" showDropDown="1" sqref="G2:G61">
      <formula1>OR(NOT(ISERROR(DATEVALUE(G2))), AND(ISNUMBER(G2), LEFT(CELL("format", G2))="D"))</formula1>
    </dataValidation>
    <dataValidation type="custom" allowBlank="1" showDropDown="1" sqref="A2:A61 D2:E61">
      <formula1>AND(ISNUMBER(A2),(NOT(OR(NOT(ISERROR(DATEVALUE(A2))), AND(ISNUMBER(A2), LEFT(CELL("format", A2))="D")))))</formula1>
    </dataValidation>
    <dataValidation type="list" allowBlank="1" sqref="B2:B61 H2:H61">
      <formula1>#REF!</formula1>
    </dataValidation>
    <dataValidation type="list" allowBlank="1" showDropDown="1" sqref="C2:C61">
      <formula1>#REF!</formula1>
    </dataValidation>
    <dataValidation type="list" allowBlank="1" sqref="I2:I61">
      <formula1>#REF!</formula1>
    </dataValidation>
    <dataValidation type="list" allowBlank="1" sqref="F2:F61">
      <formula1>#REF!</formula1>
    </dataValidation>
  </dataValidations>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13"/>
    <col customWidth="1" min="2" max="2" width="15.88"/>
    <col customWidth="1" min="3" max="3" width="20.5"/>
    <col customWidth="1" min="4" max="4" width="16.63"/>
    <col customWidth="1" min="5" max="5" width="15.88"/>
  </cols>
  <sheetData>
    <row r="1" ht="22.5" customHeight="1">
      <c r="A1" s="1" t="s">
        <v>23</v>
      </c>
      <c r="B1" s="6" t="s">
        <v>37</v>
      </c>
      <c r="C1" s="1" t="s">
        <v>40</v>
      </c>
      <c r="D1" s="6" t="s">
        <v>42</v>
      </c>
      <c r="E1" s="6" t="s">
        <v>61</v>
      </c>
    </row>
    <row r="2" ht="22.5" customHeight="1">
      <c r="A2" s="10" t="s">
        <v>28</v>
      </c>
      <c r="B2" s="7" t="s">
        <v>43</v>
      </c>
      <c r="C2" s="10" t="s">
        <v>20</v>
      </c>
      <c r="D2" s="20">
        <v>46118.0</v>
      </c>
      <c r="E2" s="7" t="s">
        <v>13</v>
      </c>
    </row>
    <row r="3" ht="22.5" customHeight="1">
      <c r="A3" s="10" t="s">
        <v>29</v>
      </c>
      <c r="B3" s="7" t="s">
        <v>44</v>
      </c>
      <c r="C3" s="10" t="s">
        <v>21</v>
      </c>
      <c r="D3" s="20">
        <v>46119.0</v>
      </c>
      <c r="E3" s="7" t="s">
        <v>14</v>
      </c>
    </row>
    <row r="4" ht="22.5" customHeight="1">
      <c r="A4" s="10" t="s">
        <v>30</v>
      </c>
      <c r="B4" s="7" t="s">
        <v>45</v>
      </c>
      <c r="C4" s="10" t="s">
        <v>22</v>
      </c>
      <c r="D4" s="20">
        <v>46120.0</v>
      </c>
      <c r="E4" s="7" t="s">
        <v>15</v>
      </c>
    </row>
    <row r="5" ht="22.5" customHeight="1">
      <c r="A5" s="10" t="s">
        <v>31</v>
      </c>
      <c r="B5" s="7" t="s">
        <v>46</v>
      </c>
      <c r="C5" s="22"/>
      <c r="D5" s="20">
        <v>46121.0</v>
      </c>
      <c r="E5" s="7" t="s">
        <v>16</v>
      </c>
    </row>
    <row r="6" ht="22.5" customHeight="1">
      <c r="A6" s="10" t="s">
        <v>32</v>
      </c>
      <c r="B6" s="7" t="s">
        <v>47</v>
      </c>
      <c r="C6" s="7"/>
      <c r="D6" s="20">
        <v>46122.0</v>
      </c>
      <c r="E6" s="7" t="s">
        <v>17</v>
      </c>
    </row>
    <row r="7" ht="22.5" customHeight="1">
      <c r="A7" s="13" t="s">
        <v>33</v>
      </c>
      <c r="B7" s="9" t="s">
        <v>48</v>
      </c>
      <c r="C7" s="9"/>
      <c r="D7" s="20"/>
      <c r="E7" s="9" t="s">
        <v>18</v>
      </c>
    </row>
    <row r="8" ht="22.5" customHeight="1">
      <c r="A8" s="13" t="s">
        <v>34</v>
      </c>
      <c r="B8" s="9" t="s">
        <v>49</v>
      </c>
      <c r="C8" s="9"/>
      <c r="D8" s="23"/>
      <c r="E8" s="24"/>
    </row>
    <row r="9" ht="22.5" customHeight="1">
      <c r="A9" s="13"/>
      <c r="B9" s="9" t="s">
        <v>50</v>
      </c>
      <c r="C9" s="9"/>
      <c r="D9" s="23"/>
      <c r="E9" s="24"/>
    </row>
    <row r="10" ht="22.5" customHeight="1">
      <c r="A10" s="13"/>
      <c r="B10" s="9" t="s">
        <v>51</v>
      </c>
      <c r="C10" s="9"/>
      <c r="D10" s="23"/>
      <c r="E10" s="24"/>
    </row>
    <row r="11" ht="22.5" customHeight="1">
      <c r="A11" s="13"/>
      <c r="B11" s="9" t="s">
        <v>52</v>
      </c>
      <c r="C11" s="9"/>
      <c r="D11" s="23"/>
      <c r="E11" s="24"/>
    </row>
    <row r="12" ht="22.5" customHeight="1">
      <c r="A12" s="13"/>
      <c r="B12" s="9" t="s">
        <v>53</v>
      </c>
      <c r="C12" s="9"/>
      <c r="D12" s="23"/>
      <c r="E12" s="24"/>
    </row>
    <row r="13" ht="22.5" customHeight="1">
      <c r="A13" s="13"/>
      <c r="B13" s="9" t="s">
        <v>54</v>
      </c>
      <c r="C13" s="9"/>
      <c r="D13" s="23"/>
      <c r="E13" s="24"/>
    </row>
    <row r="14" ht="22.5" customHeight="1">
      <c r="A14" s="13"/>
      <c r="B14" s="9" t="s">
        <v>55</v>
      </c>
      <c r="C14" s="9"/>
      <c r="D14" s="23"/>
      <c r="E14" s="24"/>
    </row>
    <row r="15" ht="22.5" customHeight="1">
      <c r="A15" s="13"/>
      <c r="B15" s="9" t="s">
        <v>56</v>
      </c>
      <c r="C15" s="9"/>
      <c r="D15" s="23"/>
      <c r="E15" s="24"/>
    </row>
    <row r="16" ht="22.5" customHeight="1">
      <c r="A16" s="13"/>
      <c r="B16" s="9" t="s">
        <v>57</v>
      </c>
      <c r="C16" s="9"/>
      <c r="D16" s="23"/>
      <c r="E16" s="24"/>
    </row>
    <row r="17" ht="22.5" customHeight="1">
      <c r="A17" s="13"/>
      <c r="B17" s="9" t="s">
        <v>58</v>
      </c>
      <c r="C17" s="9"/>
      <c r="D17" s="23"/>
      <c r="E17" s="24"/>
    </row>
    <row r="18" ht="22.5" customHeight="1">
      <c r="A18" s="13"/>
      <c r="B18" s="9" t="s">
        <v>59</v>
      </c>
      <c r="C18" s="9"/>
      <c r="D18" s="23"/>
      <c r="E18" s="24"/>
    </row>
    <row r="19" ht="22.5" customHeight="1">
      <c r="A19" s="13"/>
      <c r="B19" s="9" t="s">
        <v>60</v>
      </c>
      <c r="C19" s="9"/>
      <c r="D19" s="23"/>
      <c r="E19" s="24"/>
    </row>
  </sheetData>
  <dataValidations>
    <dataValidation type="custom" allowBlank="1" showDropDown="1" sqref="D2:D19">
      <formula1>OR(NOT(ISERROR(DATEVALUE(D2))), AND(ISNUMBER(D2), LEFT(CELL("format", D2))="D"))</formula1>
    </dataValidation>
    <dataValidation allowBlank="1" showDropDown="1" sqref="A2:C19 E2:E19"/>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8" width="29.88"/>
  </cols>
  <sheetData>
    <row r="1">
      <c r="A1" s="14" t="s">
        <v>62</v>
      </c>
      <c r="B1" s="14" t="s">
        <v>63</v>
      </c>
      <c r="C1" s="14" t="s">
        <v>64</v>
      </c>
      <c r="D1" s="14" t="s">
        <v>65</v>
      </c>
      <c r="E1" s="14" t="s">
        <v>66</v>
      </c>
      <c r="F1" s="14" t="s">
        <v>67</v>
      </c>
      <c r="G1" s="14" t="s">
        <v>68</v>
      </c>
      <c r="H1" s="14" t="s">
        <v>69</v>
      </c>
    </row>
    <row r="2" ht="75.0" customHeight="1">
      <c r="A2" s="14" t="s">
        <v>70</v>
      </c>
      <c r="B2" s="25" t="s">
        <v>71</v>
      </c>
      <c r="C2" s="25" t="s">
        <v>72</v>
      </c>
      <c r="D2" s="26" t="s">
        <v>73</v>
      </c>
      <c r="E2" s="25" t="s">
        <v>74</v>
      </c>
      <c r="F2" s="25" t="s">
        <v>75</v>
      </c>
      <c r="G2" s="25" t="s">
        <v>76</v>
      </c>
      <c r="H2" s="27"/>
    </row>
    <row r="3" ht="75.0" customHeight="1">
      <c r="A3" s="14" t="s">
        <v>77</v>
      </c>
    </row>
    <row r="4" ht="75.0" customHeight="1">
      <c r="A4" s="14" t="s">
        <v>78</v>
      </c>
    </row>
    <row r="5" ht="75.0" customHeight="1">
      <c r="A5" s="14" t="s">
        <v>79</v>
      </c>
    </row>
    <row r="7">
      <c r="B7" s="14"/>
    </row>
    <row r="8">
      <c r="B8" s="14"/>
    </row>
    <row r="9">
      <c r="B9" s="14"/>
    </row>
  </sheetData>
  <mergeCells count="7">
    <mergeCell ref="B2:B5"/>
    <mergeCell ref="C2:C5"/>
    <mergeCell ref="D2:D5"/>
    <mergeCell ref="E2:E5"/>
    <mergeCell ref="F2:F5"/>
    <mergeCell ref="G2:G5"/>
    <mergeCell ref="H2:H5"/>
  </mergeCells>
  <drawing r:id="rId1"/>
</worksheet>
</file>